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asks" sheetId="2" state="visible" r:id="rId2"/>
    <sheet name="Decisions" sheetId="3" state="visible" r:id="rId3"/>
    <sheet name="Completed (pre-restart)" sheetId="4" state="visible" r:id="rId4"/>
    <sheet name="Lookups" sheetId="5" state="visible" r:id="rId5"/>
  </sheets>
  <definedNames>
    <definedName name="_xlnm._FilterDatabase" localSheetId="1" hidden="1">'Tasks'!$A$1:$P$82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color rgb="000000FF"/>
      <sz val="10"/>
    </font>
    <font>
      <name val="Arial"/>
      <sz val="10"/>
    </font>
    <font>
      <name val="Arial"/>
      <b val="1"/>
      <sz val="10"/>
    </font>
    <font>
      <name val="Arial"/>
      <b val="1"/>
      <color rgb="00FFFFFF"/>
      <sz val="10"/>
    </font>
    <font>
      <name val="Arial"/>
      <b val="1"/>
      <sz val="14"/>
    </font>
    <font>
      <name val="Arial"/>
      <i val="1"/>
      <color rgb="00595959"/>
      <sz val="9"/>
    </font>
  </fonts>
  <fills count="5">
    <fill>
      <patternFill/>
    </fill>
    <fill>
      <patternFill patternType="gray125"/>
    </fill>
    <fill>
      <patternFill patternType="solid">
        <fgColor rgb="001F3864"/>
      </patternFill>
    </fill>
    <fill>
      <patternFill patternType="solid">
        <fgColor rgb="00FFF9DB"/>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5" fillId="0" borderId="0" pivotButton="0" quotePrefix="0" xfId="0"/>
    <xf numFmtId="0" fontId="6"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xf>
    <xf numFmtId="164" fontId="2" fillId="0" borderId="1" applyAlignment="1" pivotButton="0" quotePrefix="0" xfId="0">
      <alignment horizontal="center"/>
    </xf>
    <xf numFmtId="165" fontId="2" fillId="0" borderId="1" applyAlignment="1" pivotButton="0" quotePrefix="0" xfId="0">
      <alignment horizontal="center"/>
    </xf>
    <xf numFmtId="0" fontId="3" fillId="4" borderId="1" applyAlignment="1" pivotButton="0" quotePrefix="0" xfId="0">
      <alignment horizontal="left"/>
    </xf>
    <xf numFmtId="164" fontId="3" fillId="4" borderId="1" applyAlignment="1" pivotButton="0" quotePrefix="0" xfId="0">
      <alignment horizontal="center"/>
    </xf>
    <xf numFmtId="165" fontId="3" fillId="4" borderId="1" applyAlignment="1" pivotButton="0" quotePrefix="0" xfId="0">
      <alignment horizontal="center"/>
    </xf>
    <xf numFmtId="0" fontId="3" fillId="0" borderId="0" pivotButton="0" quotePrefix="0" xfId="0"/>
    <xf numFmtId="0" fontId="2" fillId="0" borderId="0" pivotButton="0" quotePrefix="0" xfId="0"/>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1" fillId="0" borderId="0" pivotButton="0" quotePrefix="0" xfId="0"/>
    <xf numFmtId="164" fontId="2" fillId="0" borderId="1" applyAlignment="1" pivotButton="0" quotePrefix="0" xfId="0">
      <alignment horizontal="center"/>
    </xf>
    <xf numFmtId="165" fontId="2" fillId="0" borderId="1" applyAlignment="1" pivotButton="0" quotePrefix="0" xfId="0">
      <alignment horizontal="center"/>
    </xf>
    <xf numFmtId="164" fontId="3" fillId="4" borderId="1" applyAlignment="1" pivotButton="0" quotePrefix="0" xfId="0">
      <alignment horizontal="center"/>
    </xf>
    <xf numFmtId="165" fontId="3" fillId="4" borderId="1" applyAlignment="1" pivotButton="0" quotePrefix="0" xfId="0">
      <alignment horizontal="center"/>
    </xf>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ont>
        <name val="Arial"/>
        <color rgb="00808080"/>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4" topLeftCell="A5" activePane="bottomLeft" state="frozen"/>
      <selection pane="bottomLeft" activeCell="A1" sqref="A1"/>
    </sheetView>
  </sheetViews>
  <sheetFormatPr baseColWidth="8" defaultRowHeight="15"/>
  <cols>
    <col width="40" customWidth="1" min="1" max="1"/>
    <col width="9" customWidth="1" min="2" max="2"/>
    <col width="9" customWidth="1" min="3" max="3"/>
    <col width="12" customWidth="1" min="4" max="4"/>
    <col width="10" customWidth="1" min="5" max="5"/>
    <col width="12" customWidth="1" min="6" max="6"/>
    <col width="9" customWidth="1" min="7" max="7"/>
    <col width="11" customWidth="1" min="8" max="8"/>
    <col width="16" customWidth="1" min="9" max="9"/>
    <col width="10" customWidth="1" min="10" max="10"/>
  </cols>
  <sheetData>
    <row r="1">
      <c r="A1" s="1" t="inlineStr">
        <is>
          <t>DevPulse AI - Restart Task Tracker</t>
        </is>
      </c>
    </row>
    <row r="2">
      <c r="A2" s="2" t="inlineStr">
        <is>
          <t>Source: docs/project-restart/TASK_BACKLOG.md (2026-10-21). Every number below is a formula over the Tasks sheet.</t>
        </is>
      </c>
    </row>
    <row r="4">
      <c r="A4" s="3" t="inlineStr">
        <is>
          <t>Milestone</t>
        </is>
      </c>
      <c r="B4" s="3" t="inlineStr">
        <is>
          <t>Tasks</t>
        </is>
      </c>
      <c r="C4" s="3" t="inlineStr">
        <is>
          <t>Done</t>
        </is>
      </c>
      <c r="D4" s="3" t="inlineStr">
        <is>
          <t>In Progress</t>
        </is>
      </c>
      <c r="E4" s="3" t="inlineStr">
        <is>
          <t>Blocked</t>
        </is>
      </c>
      <c r="F4" s="3" t="inlineStr">
        <is>
          <t>Not Started</t>
        </is>
      </c>
      <c r="G4" s="3" t="inlineStr">
        <is>
          <t>% Done</t>
        </is>
      </c>
      <c r="H4" s="3" t="inlineStr">
        <is>
          <t>Est. Hours</t>
        </is>
      </c>
      <c r="I4" s="3" t="inlineStr">
        <is>
          <t>Remaining Hours</t>
        </is>
      </c>
      <c r="J4" s="3" t="inlineStr">
        <is>
          <t>Open P0</t>
        </is>
      </c>
    </row>
    <row r="5">
      <c r="A5" s="4" t="inlineStr">
        <is>
          <t>M0 - Recovery &amp; local dev</t>
        </is>
      </c>
      <c r="B5" s="17">
        <f>COUNTIF(Tasks!$B$2:$B$82,$A5)</f>
        <v/>
      </c>
      <c r="C5" s="17">
        <f>COUNTIFS(Tasks!$B$2:$B$82,$A5,Tasks!$I$2:$I$82,"Done")</f>
        <v/>
      </c>
      <c r="D5" s="17">
        <f>COUNTIFS(Tasks!$B$2:$B$82,$A5,Tasks!$I$2:$I$82,"In progress")</f>
        <v/>
      </c>
      <c r="E5" s="17">
        <f>COUNTIFS(Tasks!$B$2:$B$82,$A5,Tasks!$I$2:$I$82,"Blocked")</f>
        <v/>
      </c>
      <c r="F5" s="17">
        <f>COUNTIFS(Tasks!$B$2:$B$82,$A5,Tasks!$I$2:$I$82,"Not started")</f>
        <v/>
      </c>
      <c r="G5" s="18">
        <f>IF(B5=0,0,C5/B5)</f>
        <v/>
      </c>
      <c r="H5" s="17">
        <f>SUMIF(Tasks!$B$2:$B$82,$A5,Tasks!$G$2:$G$82)</f>
        <v/>
      </c>
      <c r="I5" s="17">
        <f>SUMIFS(Tasks!$G$2:$G$82,Tasks!$B$2:$B$82,$A5,Tasks!$I$2:$I$82,"&lt;&gt;Done")</f>
        <v/>
      </c>
      <c r="J5" s="17">
        <f>COUNTIFS(Tasks!$B$2:$B$82,$A5,Tasks!$E$2:$E$82,"P0",Tasks!$I$2:$I$82,"&lt;&gt;Done")</f>
        <v/>
      </c>
    </row>
    <row r="6">
      <c r="A6" s="4" t="inlineStr">
        <is>
          <t>M1 - Backend stabilization &amp; security</t>
        </is>
      </c>
      <c r="B6" s="17">
        <f>COUNTIF(Tasks!$B$2:$B$82,$A6)</f>
        <v/>
      </c>
      <c r="C6" s="17">
        <f>COUNTIFS(Tasks!$B$2:$B$82,$A6,Tasks!$I$2:$I$82,"Done")</f>
        <v/>
      </c>
      <c r="D6" s="17">
        <f>COUNTIFS(Tasks!$B$2:$B$82,$A6,Tasks!$I$2:$I$82,"In progress")</f>
        <v/>
      </c>
      <c r="E6" s="17">
        <f>COUNTIFS(Tasks!$B$2:$B$82,$A6,Tasks!$I$2:$I$82,"Blocked")</f>
        <v/>
      </c>
      <c r="F6" s="17">
        <f>COUNTIFS(Tasks!$B$2:$B$82,$A6,Tasks!$I$2:$I$82,"Not started")</f>
        <v/>
      </c>
      <c r="G6" s="18">
        <f>IF(B6=0,0,C6/B6)</f>
        <v/>
      </c>
      <c r="H6" s="17">
        <f>SUMIF(Tasks!$B$2:$B$82,$A6,Tasks!$G$2:$G$82)</f>
        <v/>
      </c>
      <c r="I6" s="17">
        <f>SUMIFS(Tasks!$G$2:$G$82,Tasks!$B$2:$B$82,$A6,Tasks!$I$2:$I$82,"&lt;&gt;Done")</f>
        <v/>
      </c>
      <c r="J6" s="17">
        <f>COUNTIFS(Tasks!$B$2:$B$82,$A6,Tasks!$E$2:$E$82,"P0",Tasks!$I$2:$I$82,"&lt;&gt;Done")</f>
        <v/>
      </c>
    </row>
    <row r="7">
      <c r="A7" s="4" t="inlineStr">
        <is>
          <t>M2 - Frontend foundation + auth</t>
        </is>
      </c>
      <c r="B7" s="17">
        <f>COUNTIF(Tasks!$B$2:$B$82,$A7)</f>
        <v/>
      </c>
      <c r="C7" s="17">
        <f>COUNTIFS(Tasks!$B$2:$B$82,$A7,Tasks!$I$2:$I$82,"Done")</f>
        <v/>
      </c>
      <c r="D7" s="17">
        <f>COUNTIFS(Tasks!$B$2:$B$82,$A7,Tasks!$I$2:$I$82,"In progress")</f>
        <v/>
      </c>
      <c r="E7" s="17">
        <f>COUNTIFS(Tasks!$B$2:$B$82,$A7,Tasks!$I$2:$I$82,"Blocked")</f>
        <v/>
      </c>
      <c r="F7" s="17">
        <f>COUNTIFS(Tasks!$B$2:$B$82,$A7,Tasks!$I$2:$I$82,"Not started")</f>
        <v/>
      </c>
      <c r="G7" s="18">
        <f>IF(B7=0,0,C7/B7)</f>
        <v/>
      </c>
      <c r="H7" s="17">
        <f>SUMIF(Tasks!$B$2:$B$82,$A7,Tasks!$G$2:$G$82)</f>
        <v/>
      </c>
      <c r="I7" s="17">
        <f>SUMIFS(Tasks!$G$2:$G$82,Tasks!$B$2:$B$82,$A7,Tasks!$I$2:$I$82,"&lt;&gt;Done")</f>
        <v/>
      </c>
      <c r="J7" s="17">
        <f>COUNTIFS(Tasks!$B$2:$B$82,$A7,Tasks!$E$2:$E$82,"P0",Tasks!$I$2:$I$82,"&lt;&gt;Done")</f>
        <v/>
      </c>
    </row>
    <row r="8">
      <c r="A8" s="4" t="inlineStr">
        <is>
          <t>M3 - GitHub connect, repos &amp; PRs</t>
        </is>
      </c>
      <c r="B8" s="17">
        <f>COUNTIF(Tasks!$B$2:$B$82,$A8)</f>
        <v/>
      </c>
      <c r="C8" s="17">
        <f>COUNTIFS(Tasks!$B$2:$B$82,$A8,Tasks!$I$2:$I$82,"Done")</f>
        <v/>
      </c>
      <c r="D8" s="17">
        <f>COUNTIFS(Tasks!$B$2:$B$82,$A8,Tasks!$I$2:$I$82,"In progress")</f>
        <v/>
      </c>
      <c r="E8" s="17">
        <f>COUNTIFS(Tasks!$B$2:$B$82,$A8,Tasks!$I$2:$I$82,"Blocked")</f>
        <v/>
      </c>
      <c r="F8" s="17">
        <f>COUNTIFS(Tasks!$B$2:$B$82,$A8,Tasks!$I$2:$I$82,"Not started")</f>
        <v/>
      </c>
      <c r="G8" s="18">
        <f>IF(B8=0,0,C8/B8)</f>
        <v/>
      </c>
      <c r="H8" s="17">
        <f>SUMIF(Tasks!$B$2:$B$82,$A8,Tasks!$G$2:$G$82)</f>
        <v/>
      </c>
      <c r="I8" s="17">
        <f>SUMIFS(Tasks!$G$2:$G$82,Tasks!$B$2:$B$82,$A8,Tasks!$I$2:$I$82,"&lt;&gt;Done")</f>
        <v/>
      </c>
      <c r="J8" s="17">
        <f>COUNTIFS(Tasks!$B$2:$B$82,$A8,Tasks!$E$2:$E$82,"P0",Tasks!$I$2:$I$82,"&lt;&gt;Done")</f>
        <v/>
      </c>
    </row>
    <row r="9">
      <c r="A9" s="4" t="inlineStr">
        <is>
          <t>M4 - AI review engine</t>
        </is>
      </c>
      <c r="B9" s="17">
        <f>COUNTIF(Tasks!$B$2:$B$82,$A9)</f>
        <v/>
      </c>
      <c r="C9" s="17">
        <f>COUNTIFS(Tasks!$B$2:$B$82,$A9,Tasks!$I$2:$I$82,"Done")</f>
        <v/>
      </c>
      <c r="D9" s="17">
        <f>COUNTIFS(Tasks!$B$2:$B$82,$A9,Tasks!$I$2:$I$82,"In progress")</f>
        <v/>
      </c>
      <c r="E9" s="17">
        <f>COUNTIFS(Tasks!$B$2:$B$82,$A9,Tasks!$I$2:$I$82,"Blocked")</f>
        <v/>
      </c>
      <c r="F9" s="17">
        <f>COUNTIFS(Tasks!$B$2:$B$82,$A9,Tasks!$I$2:$I$82,"Not started")</f>
        <v/>
      </c>
      <c r="G9" s="18">
        <f>IF(B9=0,0,C9/B9)</f>
        <v/>
      </c>
      <c r="H9" s="17">
        <f>SUMIF(Tasks!$B$2:$B$82,$A9,Tasks!$G$2:$G$82)</f>
        <v/>
      </c>
      <c r="I9" s="17">
        <f>SUMIFS(Tasks!$G$2:$G$82,Tasks!$B$2:$B$82,$A9,Tasks!$I$2:$I$82,"&lt;&gt;Done")</f>
        <v/>
      </c>
      <c r="J9" s="17">
        <f>COUNTIFS(Tasks!$B$2:$B$82,$A9,Tasks!$E$2:$E$82,"P0",Tasks!$I$2:$I$82,"&lt;&gt;Done")</f>
        <v/>
      </c>
    </row>
    <row r="10">
      <c r="A10" s="4" t="inlineStr">
        <is>
          <t>M5 - Webhooks &amp; inline comments</t>
        </is>
      </c>
      <c r="B10" s="17">
        <f>COUNTIF(Tasks!$B$2:$B$82,$A10)</f>
        <v/>
      </c>
      <c r="C10" s="17">
        <f>COUNTIFS(Tasks!$B$2:$B$82,$A10,Tasks!$I$2:$I$82,"Done")</f>
        <v/>
      </c>
      <c r="D10" s="17">
        <f>COUNTIFS(Tasks!$B$2:$B$82,$A10,Tasks!$I$2:$I$82,"In progress")</f>
        <v/>
      </c>
      <c r="E10" s="17">
        <f>COUNTIFS(Tasks!$B$2:$B$82,$A10,Tasks!$I$2:$I$82,"Blocked")</f>
        <v/>
      </c>
      <c r="F10" s="17">
        <f>COUNTIFS(Tasks!$B$2:$B$82,$A10,Tasks!$I$2:$I$82,"Not started")</f>
        <v/>
      </c>
      <c r="G10" s="18">
        <f>IF(B10=0,0,C10/B10)</f>
        <v/>
      </c>
      <c r="H10" s="17">
        <f>SUMIF(Tasks!$B$2:$B$82,$A10,Tasks!$G$2:$G$82)</f>
        <v/>
      </c>
      <c r="I10" s="17">
        <f>SUMIFS(Tasks!$G$2:$G$82,Tasks!$B$2:$B$82,$A10,Tasks!$I$2:$I$82,"&lt;&gt;Done")</f>
        <v/>
      </c>
      <c r="J10" s="17">
        <f>COUNTIFS(Tasks!$B$2:$B$82,$A10,Tasks!$E$2:$E$82,"P0",Tasks!$I$2:$I$82,"&lt;&gt;Done")</f>
        <v/>
      </c>
    </row>
    <row r="11">
      <c r="A11" s="4" t="inlineStr">
        <is>
          <t>M6 - Indexing, search &amp; RAG</t>
        </is>
      </c>
      <c r="B11" s="17">
        <f>COUNTIF(Tasks!$B$2:$B$82,$A11)</f>
        <v/>
      </c>
      <c r="C11" s="17">
        <f>COUNTIFS(Tasks!$B$2:$B$82,$A11,Tasks!$I$2:$I$82,"Done")</f>
        <v/>
      </c>
      <c r="D11" s="17">
        <f>COUNTIFS(Tasks!$B$2:$B$82,$A11,Tasks!$I$2:$I$82,"In progress")</f>
        <v/>
      </c>
      <c r="E11" s="17">
        <f>COUNTIFS(Tasks!$B$2:$B$82,$A11,Tasks!$I$2:$I$82,"Blocked")</f>
        <v/>
      </c>
      <c r="F11" s="17">
        <f>COUNTIFS(Tasks!$B$2:$B$82,$A11,Tasks!$I$2:$I$82,"Not started")</f>
        <v/>
      </c>
      <c r="G11" s="18">
        <f>IF(B11=0,0,C11/B11)</f>
        <v/>
      </c>
      <c r="H11" s="17">
        <f>SUMIF(Tasks!$B$2:$B$82,$A11,Tasks!$G$2:$G$82)</f>
        <v/>
      </c>
      <c r="I11" s="17">
        <f>SUMIFS(Tasks!$G$2:$G$82,Tasks!$B$2:$B$82,$A11,Tasks!$I$2:$I$82,"&lt;&gt;Done")</f>
        <v/>
      </c>
      <c r="J11" s="17">
        <f>COUNTIFS(Tasks!$B$2:$B$82,$A11,Tasks!$E$2:$E$82,"P0",Tasks!$I$2:$I$82,"&lt;&gt;Done")</f>
        <v/>
      </c>
    </row>
    <row r="12">
      <c r="A12" s="4" t="inlineStr">
        <is>
          <t>M7 - Hardening &amp; E2E tests</t>
        </is>
      </c>
      <c r="B12" s="17">
        <f>COUNTIF(Tasks!$B$2:$B$82,$A12)</f>
        <v/>
      </c>
      <c r="C12" s="17">
        <f>COUNTIFS(Tasks!$B$2:$B$82,$A12,Tasks!$I$2:$I$82,"Done")</f>
        <v/>
      </c>
      <c r="D12" s="17">
        <f>COUNTIFS(Tasks!$B$2:$B$82,$A12,Tasks!$I$2:$I$82,"In progress")</f>
        <v/>
      </c>
      <c r="E12" s="17">
        <f>COUNTIFS(Tasks!$B$2:$B$82,$A12,Tasks!$I$2:$I$82,"Blocked")</f>
        <v/>
      </c>
      <c r="F12" s="17">
        <f>COUNTIFS(Tasks!$B$2:$B$82,$A12,Tasks!$I$2:$I$82,"Not started")</f>
        <v/>
      </c>
      <c r="G12" s="18">
        <f>IF(B12=0,0,C12/B12)</f>
        <v/>
      </c>
      <c r="H12" s="17">
        <f>SUMIF(Tasks!$B$2:$B$82,$A12,Tasks!$G$2:$G$82)</f>
        <v/>
      </c>
      <c r="I12" s="17">
        <f>SUMIFS(Tasks!$G$2:$G$82,Tasks!$B$2:$B$82,$A12,Tasks!$I$2:$I$82,"&lt;&gt;Done")</f>
        <v/>
      </c>
      <c r="J12" s="17">
        <f>COUNTIFS(Tasks!$B$2:$B$82,$A12,Tasks!$E$2:$E$82,"P0",Tasks!$I$2:$I$82,"&lt;&gt;Done")</f>
        <v/>
      </c>
    </row>
    <row r="13">
      <c r="A13" s="4" t="inlineStr">
        <is>
          <t>M8 - Deploy, CI/CD &amp; docs</t>
        </is>
      </c>
      <c r="B13" s="17">
        <f>COUNTIF(Tasks!$B$2:$B$82,$A13)</f>
        <v/>
      </c>
      <c r="C13" s="17">
        <f>COUNTIFS(Tasks!$B$2:$B$82,$A13,Tasks!$I$2:$I$82,"Done")</f>
        <v/>
      </c>
      <c r="D13" s="17">
        <f>COUNTIFS(Tasks!$B$2:$B$82,$A13,Tasks!$I$2:$I$82,"In progress")</f>
        <v/>
      </c>
      <c r="E13" s="17">
        <f>COUNTIFS(Tasks!$B$2:$B$82,$A13,Tasks!$I$2:$I$82,"Blocked")</f>
        <v/>
      </c>
      <c r="F13" s="17">
        <f>COUNTIFS(Tasks!$B$2:$B$82,$A13,Tasks!$I$2:$I$82,"Not started")</f>
        <v/>
      </c>
      <c r="G13" s="18">
        <f>IF(B13=0,0,C13/B13)</f>
        <v/>
      </c>
      <c r="H13" s="17">
        <f>SUMIF(Tasks!$B$2:$B$82,$A13,Tasks!$G$2:$G$82)</f>
        <v/>
      </c>
      <c r="I13" s="17">
        <f>SUMIFS(Tasks!$G$2:$G$82,Tasks!$B$2:$B$82,$A13,Tasks!$I$2:$I$82,"&lt;&gt;Done")</f>
        <v/>
      </c>
      <c r="J13" s="17">
        <f>COUNTIFS(Tasks!$B$2:$B$82,$A13,Tasks!$E$2:$E$82,"P0",Tasks!$I$2:$I$82,"&lt;&gt;Done")</f>
        <v/>
      </c>
    </row>
    <row r="14">
      <c r="A14" s="7" t="inlineStr">
        <is>
          <t>Total</t>
        </is>
      </c>
      <c r="B14" s="19">
        <f>SUM(B5:B13)</f>
        <v/>
      </c>
      <c r="C14" s="19">
        <f>SUM(C5:C13)</f>
        <v/>
      </c>
      <c r="D14" s="19">
        <f>SUM(D5:D13)</f>
        <v/>
      </c>
      <c r="E14" s="19">
        <f>SUM(E5:E13)</f>
        <v/>
      </c>
      <c r="F14" s="19">
        <f>SUM(F5:F13)</f>
        <v/>
      </c>
      <c r="G14" s="20">
        <f>IF(B14=0,0,C14/B14)</f>
        <v/>
      </c>
      <c r="H14" s="19">
        <f>SUM(H5:H13)</f>
        <v/>
      </c>
      <c r="I14" s="19">
        <f>SUM(I5:I13)</f>
        <v/>
      </c>
      <c r="J14" s="19">
        <f>SUM(J5:J13)</f>
        <v/>
      </c>
    </row>
    <row r="16">
      <c r="A16" s="10" t="inlineStr">
        <is>
          <t>By priority</t>
        </is>
      </c>
    </row>
    <row r="17">
      <c r="A17" s="3" t="inlineStr">
        <is>
          <t>Priority</t>
        </is>
      </c>
      <c r="B17" s="3" t="inlineStr">
        <is>
          <t>Tasks</t>
        </is>
      </c>
      <c r="C17" s="3" t="inlineStr">
        <is>
          <t>Done</t>
        </is>
      </c>
      <c r="D17" s="3" t="inlineStr">
        <is>
          <t>Remaining Hours</t>
        </is>
      </c>
    </row>
    <row r="18">
      <c r="A18" s="4" t="inlineStr">
        <is>
          <t>P0</t>
        </is>
      </c>
      <c r="B18" s="17">
        <f>COUNTIF(Tasks!$E$2:$E$82,$A18)</f>
        <v/>
      </c>
      <c r="C18" s="17">
        <f>COUNTIFS(Tasks!$E$2:$E$82,$A18,Tasks!$I$2:$I$82,"Done")</f>
        <v/>
      </c>
      <c r="D18" s="17">
        <f>SUMIFS(Tasks!$G$2:$G$82,Tasks!$E$2:$E$82,$A18,Tasks!$I$2:$I$82,"&lt;&gt;Done")</f>
        <v/>
      </c>
    </row>
    <row r="19">
      <c r="A19" s="4" t="inlineStr">
        <is>
          <t>P1</t>
        </is>
      </c>
      <c r="B19" s="17">
        <f>COUNTIF(Tasks!$E$2:$E$82,$A19)</f>
        <v/>
      </c>
      <c r="C19" s="17">
        <f>COUNTIFS(Tasks!$E$2:$E$82,$A19,Tasks!$I$2:$I$82,"Done")</f>
        <v/>
      </c>
      <c r="D19" s="17">
        <f>SUMIFS(Tasks!$G$2:$G$82,Tasks!$E$2:$E$82,$A19,Tasks!$I$2:$I$82,"&lt;&gt;Done")</f>
        <v/>
      </c>
    </row>
    <row r="20">
      <c r="A20" s="4" t="inlineStr">
        <is>
          <t>P2</t>
        </is>
      </c>
      <c r="B20" s="17">
        <f>COUNTIF(Tasks!$E$2:$E$82,$A20)</f>
        <v/>
      </c>
      <c r="C20" s="17">
        <f>COUNTIFS(Tasks!$E$2:$E$82,$A20,Tasks!$I$2:$I$82,"Done")</f>
        <v/>
      </c>
      <c r="D20" s="17">
        <f>SUMIFS(Tasks!$G$2:$G$82,Tasks!$E$2:$E$82,$A20,Tasks!$I$2:$I$82,"&lt;&gt;Done")</f>
        <v/>
      </c>
    </row>
    <row r="23">
      <c r="A23" s="10" t="inlineStr">
        <is>
          <t>How to use</t>
        </is>
      </c>
    </row>
    <row r="24">
      <c r="A24" s="11" t="inlineStr">
        <is>
          <t>1. Update work in the Tasks sheet: Status (dropdown), Start Date, Done Date and Notes - the yellow columns.</t>
        </is>
      </c>
    </row>
    <row r="25">
      <c r="A25" s="11" t="inlineStr">
        <is>
          <t>2. Row M0-01 is a filled-in example of a finished task. Dates are typed as YYYY-MM-DD text.</t>
        </is>
      </c>
    </row>
    <row r="26">
      <c r="A26" s="11" t="inlineStr">
        <is>
          <t>3. Summary recalculates automatically. Est. Hours come from the Effort size via the Lookups sheet.</t>
        </is>
      </c>
    </row>
    <row r="27">
      <c r="A27" s="11" t="inlineStr">
        <is>
          <t>4. Use the filter arrows on the Tasks header to view one milestone, priority or status.</t>
        </is>
      </c>
    </row>
    <row r="28">
      <c r="A28" s="11" t="inlineStr">
        <is>
          <t>5. Open decisions that affect tasks are tracked in the Decisions sheet.</t>
        </is>
      </c>
    </row>
    <row r="29">
      <c r="A29" s="11" t="inlineStr">
        <is>
          <t>Hours are rough planning estimates (S=2, M=4, L=8, XL=16), not commitments.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6" customWidth="1" min="2" max="2"/>
    <col width="38" customWidth="1" min="3" max="3"/>
    <col width="9" customWidth="1" min="4" max="4"/>
    <col width="8" customWidth="1" min="5" max="5"/>
    <col width="7" customWidth="1" min="6" max="6"/>
    <col width="8" customWidth="1" min="7" max="7"/>
    <col width="22" customWidth="1" min="8" max="8"/>
    <col width="13" customWidth="1" min="9" max="9"/>
    <col width="11" customWidth="1" min="10" max="10"/>
    <col width="11" customWidth="1" min="11" max="11"/>
    <col width="48" customWidth="1" min="12" max="12"/>
    <col width="44" customWidth="1" min="13" max="13"/>
    <col width="40" customWidth="1" min="14" max="14"/>
    <col width="30" customWidth="1" min="15" max="15"/>
    <col width="36" customWidth="1" min="16" max="16"/>
  </cols>
  <sheetData>
    <row r="1" ht="30" customHeight="1">
      <c r="A1" s="3" t="inlineStr">
        <is>
          <t>ID</t>
        </is>
      </c>
      <c r="B1" s="3" t="inlineStr">
        <is>
          <t>Milestone</t>
        </is>
      </c>
      <c r="C1" s="3" t="inlineStr">
        <is>
          <t>Task</t>
        </is>
      </c>
      <c r="D1" s="3" t="inlineStr">
        <is>
          <t>Type</t>
        </is>
      </c>
      <c r="E1" s="3" t="inlineStr">
        <is>
          <t>Priority</t>
        </is>
      </c>
      <c r="F1" s="3" t="inlineStr">
        <is>
          <t>Effort</t>
        </is>
      </c>
      <c r="G1" s="3" t="inlineStr">
        <is>
          <t>Est. Hours</t>
        </is>
      </c>
      <c r="H1" s="3" t="inlineStr">
        <is>
          <t>Depends On</t>
        </is>
      </c>
      <c r="I1" s="3" t="inlineStr">
        <is>
          <t>Status</t>
        </is>
      </c>
      <c r="J1" s="3" t="inlineStr">
        <is>
          <t>Start Date</t>
        </is>
      </c>
      <c r="K1" s="3" t="inlineStr">
        <is>
          <t>Done Date</t>
        </is>
      </c>
      <c r="L1" s="3" t="inlineStr">
        <is>
          <t>Expected Outcome</t>
        </is>
      </c>
      <c r="M1" s="3" t="inlineStr">
        <is>
          <t>Acceptance Criteria</t>
        </is>
      </c>
      <c r="N1" s="3" t="inlineStr">
        <is>
          <t>Verification / Tests</t>
        </is>
      </c>
      <c r="O1" s="3" t="inlineStr">
        <is>
          <t>Files / APIs</t>
        </is>
      </c>
      <c r="P1" s="3" t="inlineStr">
        <is>
          <t>Notes</t>
        </is>
      </c>
    </row>
    <row r="2">
      <c r="A2" s="12" t="inlineStr">
        <is>
          <t>M0-01</t>
        </is>
      </c>
      <c r="B2" s="13" t="inlineStr">
        <is>
          <t>M0 - Recovery &amp; local dev</t>
        </is>
      </c>
      <c r="C2" s="13" t="inlineStr">
        <is>
          <t>Remove literal secrets and rotate the JWT secret</t>
        </is>
      </c>
      <c r="D2" s="12" t="inlineStr">
        <is>
          <t>INF/BE</t>
        </is>
      </c>
      <c r="E2" s="12" t="inlineStr">
        <is>
          <t>P0</t>
        </is>
      </c>
      <c r="F2" s="12" t="inlineStr">
        <is>
          <t>S</t>
        </is>
      </c>
      <c r="G2" s="12">
        <f>IFERROR(INDEX(Lookups!$B$2:$B$5,MATCH(F2,Lookups!$A$2:$A$5,0)),"")</f>
        <v/>
      </c>
      <c r="H2" s="13" t="inlineStr">
        <is>
          <t>D-01 decision (whether to rewrite history). Blocks M0-04.</t>
        </is>
      </c>
      <c r="I2" s="14" t="inlineStr">
        <is>
          <t>Done</t>
        </is>
      </c>
      <c r="J2" s="14" t="inlineStr">
        <is>
          <t>2026-10-21</t>
        </is>
      </c>
      <c r="K2" s="14" t="inlineStr">
        <is>
          <t>2026-10-21</t>
        </is>
      </c>
      <c r="L2" s="13" t="inlineStr">
        <is>
          <t>no secret values in tracked files. App reads JWT_SECRET, DB_PASSWORD, etc. from the environment with no fallback defaults.</t>
        </is>
      </c>
      <c r="M2" s="13" t="inlineStr">
        <is>
          <t>git grep -nE '^(jwt\.secret|spring\.datasource\.password|spring\.ai\.openai\.api-key)=[^$]' returns nothing. A new JWT secret (≥ 256-bit) is used locally. .env.example lists every variable with placeholder values only.</t>
        </is>
      </c>
      <c r="N2" s="13" t="inlineStr">
        <is>
          <t>start the app with .env → login works. Start without JWT_SECRET → fails fast with a clear message. Run gitleaks (or similar) on HEAD.</t>
        </is>
      </c>
      <c r="O2" s="13" t="inlineStr">
        <is>
          <t>src/main/resources/application.properties, application-docker.properties, .env.example.</t>
        </is>
      </c>
      <c r="P2" s="15" t="inlineStr">
        <is>
          <t>Secrets moved to env vars + local .env generated. Uncommitted - pending your review/commit.</t>
        </is>
      </c>
    </row>
    <row r="3">
      <c r="A3" s="12" t="inlineStr">
        <is>
          <t>M0-02</t>
        </is>
      </c>
      <c r="B3" s="13" t="inlineStr">
        <is>
          <t>M0 - Recovery &amp; local dev</t>
        </is>
      </c>
      <c r="C3" s="13" t="inlineStr">
        <is>
          <t>Confirm compile on JDK 21</t>
        </is>
      </c>
      <c r="D3" s="12" t="inlineStr">
        <is>
          <t>BE</t>
        </is>
      </c>
      <c r="E3" s="12" t="inlineStr">
        <is>
          <t>P0</t>
        </is>
      </c>
      <c r="F3" s="12" t="inlineStr">
        <is>
          <t>S</t>
        </is>
      </c>
      <c r="G3" s="12">
        <f>IFERROR(INDEX(Lookups!$B$2:$B$5,MATCH(F3,Lookups!$A$2:$A$5,0)),"")</f>
        <v/>
      </c>
      <c r="H3" s="13" t="inlineStr">
        <is>
          <t>MAC_SETUP §2.1–2.2.</t>
        </is>
      </c>
      <c r="I3" s="14" t="inlineStr">
        <is>
          <t>Done</t>
        </is>
      </c>
      <c r="J3" s="14" t="inlineStr">
        <is>
          <t>2026-10-21</t>
        </is>
      </c>
      <c r="K3" s="14" t="inlineStr">
        <is>
          <t>2026-10-21</t>
        </is>
      </c>
      <c r="L3" s="13" t="inlineStr">
        <is>
          <t>./mvnw -DskipTests compile succeeds on this Mac. Any compile blockers are fixed minimally (e.g. the S3Service package/dir mismatch, if it breaks the build).</t>
        </is>
      </c>
      <c r="M3" s="13" t="inlineStr">
        <is>
          <t>build log saved in the PR description. No behaviour changes.</t>
        </is>
      </c>
      <c r="N3" s="13" t="inlineStr">
        <is>
          <t>./mvnw -DskipTests compile.</t>
        </is>
      </c>
      <c r="O3" s="13" t="inlineStr"/>
      <c r="P3" s="15" t="inlineStr">
        <is>
          <t>BUILD SUCCESS: 91 files, 0 errors/warnings (Temurin 21.0.12.1, Maven 3.9.16). Fixed mvnw exec bit. Uncommitted.</t>
        </is>
      </c>
    </row>
    <row r="4">
      <c r="A4" s="12" t="inlineStr">
        <is>
          <t>M0-03</t>
        </is>
      </c>
      <c r="B4" s="13" t="inlineStr">
        <is>
          <t>M0 - Recovery &amp; local dev</t>
        </is>
      </c>
      <c r="C4" s="13" t="inlineStr">
        <is>
          <t>Local dev compose with pgvector and Redis</t>
        </is>
      </c>
      <c r="D4" s="12" t="inlineStr">
        <is>
          <t>INF</t>
        </is>
      </c>
      <c r="E4" s="12" t="inlineStr">
        <is>
          <t>P0</t>
        </is>
      </c>
      <c r="F4" s="12" t="inlineStr">
        <is>
          <t>M</t>
        </is>
      </c>
      <c r="G4" s="12">
        <f>IFERROR(INDEX(Lookups!$B$2:$B$5,MATCH(F4,Lookups!$A$2:$A$5,0)),"")</f>
        <v/>
      </c>
      <c r="H4" s="13" t="inlineStr"/>
      <c r="I4" s="14" t="inlineStr">
        <is>
          <t>Done</t>
        </is>
      </c>
      <c r="J4" s="14" t="inlineStr">
        <is>
          <t>2026-10-21</t>
        </is>
      </c>
      <c r="K4" s="14" t="inlineStr">
        <is>
          <t>2026-10-21</t>
        </is>
      </c>
      <c r="L4" s="13" t="inlineStr">
        <is>
          <t>compose.dev.yaml with pgvector/pgvector:pg17 (port 5433, named volume, healthcheck) and redis:7 (healthcheck). Backend runs from the IDE/mvnw against it.</t>
        </is>
      </c>
      <c r="M4" s="13" t="inlineStr">
        <is>
          <t>docker compose -f compose.dev.yaml up -d → both healthy. CREATE EXTENSION vector succeeds.</t>
        </is>
      </c>
      <c r="N4" s="13" t="inlineStr">
        <is>
          <t>psql -h localhost -p 5433 -U devpulse -c "select extversion from pg_extension where extname='vector'", redis-cli ping.</t>
        </is>
      </c>
      <c r="O4" s="13" t="inlineStr">
        <is>
          <t>new compose.dev.yaml; keep compose.yaml for the containerized backend.</t>
        </is>
      </c>
      <c r="P4" s="15" t="inlineStr">
        <is>
          <t>compose.dev.yaml: Postgres 17.11 + pgvector 0.8.7 on 127.0.0.1:5433, Redis on 127.0.0.1:6379, both healthy. Uncommitted.</t>
        </is>
      </c>
    </row>
    <row r="5">
      <c r="A5" s="12" t="inlineStr">
        <is>
          <t>M0-04</t>
        </is>
      </c>
      <c r="B5" s="13" t="inlineStr">
        <is>
          <t>M0 - Recovery &amp; local dev</t>
        </is>
      </c>
      <c r="C5" s="13" t="inlineStr">
        <is>
          <t>Fix profiles and environment mapping</t>
        </is>
      </c>
      <c r="D5" s="12" t="inlineStr">
        <is>
          <t>INF/BE</t>
        </is>
      </c>
      <c r="E5" s="12" t="inlineStr">
        <is>
          <t>P0</t>
        </is>
      </c>
      <c r="F5" s="12" t="inlineStr">
        <is>
          <t>M</t>
        </is>
      </c>
      <c r="G5" s="12">
        <f>IFERROR(INDEX(Lookups!$B$2:$B$5,MATCH(F5,Lookups!$A$2:$A$5,0)),"")</f>
        <v/>
      </c>
      <c r="H5" s="13" t="inlineStr">
        <is>
          <t>M0-01, M0-03.</t>
        </is>
      </c>
      <c r="I5" s="14" t="inlineStr">
        <is>
          <t>Done</t>
        </is>
      </c>
      <c r="J5" s="14" t="inlineStr">
        <is>
          <t>2026-10-21</t>
        </is>
      </c>
      <c r="K5" s="14" t="inlineStr">
        <is>
          <t>2026-10-21</t>
        </is>
      </c>
      <c r="L5" s="13" t="inlineStr">
        <is>
          <t>profiles local (default for dev), docker, prod. Datasource URL is built from DB_HOST/DB_PORT/DB_NAME. Redis uses REDIS_HOST/REDIS_PORT (fixes the devpulse-redis vs redis mismatch). Bucket/region come from env. show-sql is off by default.</t>
        </is>
      </c>
      <c r="M5" s="13" t="inlineStr">
        <is>
          <t>no hostnames or bucket names hard-coded in properties. docker compose up (backend + redis) connects to Redis.</t>
        </is>
      </c>
      <c r="N5" s="13" t="inlineStr">
        <is>
          <t>/actuator/health shows db and redis UP in both the local and docker runs.</t>
        </is>
      </c>
      <c r="O5" s="13" t="inlineStr">
        <is>
          <t>application*.properties, compose.yaml, S3Config.java, .env.example.</t>
        </is>
      </c>
      <c r="P5" s="15" t="inlineStr">
        <is>
          <t>Hosts/ports/bucket/region from env; docker Redis host fixed. Verified: local run + docker run both health UP (db, redis). Uncommitted.</t>
        </is>
      </c>
    </row>
    <row r="6">
      <c r="A6" s="12" t="inlineStr">
        <is>
          <t>M0-05</t>
        </is>
      </c>
      <c r="B6" s="13" t="inlineStr">
        <is>
          <t>M0 - Recovery &amp; local dev</t>
        </is>
      </c>
      <c r="C6" s="13" t="inlineStr">
        <is>
          <t>Take the ONNX model out of Git and the image</t>
        </is>
      </c>
      <c r="D6" s="12" t="inlineStr">
        <is>
          <t>INF/BE</t>
        </is>
      </c>
      <c r="E6" s="12" t="inlineStr">
        <is>
          <t>P1</t>
        </is>
      </c>
      <c r="F6" s="12" t="inlineStr">
        <is>
          <t>M</t>
        </is>
      </c>
      <c r="G6" s="12">
        <f>IFERROR(INDEX(Lookups!$B$2:$B$5,MATCH(F6,Lookups!$A$2:$A$5,0)),"")</f>
        <v/>
      </c>
      <c r="H6" s="13" t="inlineStr">
        <is>
          <t>D-06 (embedding strategy), D-01 (history rewrite to purge the blob).</t>
        </is>
      </c>
      <c r="I6" s="14" t="inlineStr">
        <is>
          <t>Done</t>
        </is>
      </c>
      <c r="J6" s="14" t="inlineStr">
        <is>
          <t>2026-10-21</t>
        </is>
      </c>
      <c r="K6" s="14" t="inlineStr">
        <is>
          <t>2026-10-21</t>
        </is>
      </c>
      <c r="L6" s="13" t="inlineStr">
        <is>
          <t>the model and tokenizer are loaded from a configurable URI (default: the Spring AI/Hugging Face URL with on-disk cache, or a path mounted in Docker). src/main/resources/embeddings/ is removed and gitignored.</t>
        </is>
      </c>
      <c r="M6" s="13" t="inlineStr">
        <is>
          <t>the repo working tree has no file over 5 MB. The image shrinks by about 90 MB. Embedding still yields 384-dim vectors.</t>
        </is>
      </c>
      <c r="N6" s="13" t="inlineStr">
        <is>
          <t>an integration test embeds a string and asserts length == 384. docker image ls size before and after.</t>
        </is>
      </c>
      <c r="O6" s="13" t="inlineStr"/>
      <c r="P6" s="15" t="inlineStr">
        <is>
          <t>Model loaded from pinned HF revision (all-MiniLM-L6-v2 @1110a243) and cached in EMBEDDING_CACHE_DIR; embeddings/ removed. Old config crashed (ClassCastException) - now fixed. Image 1.64 GB -&gt; 1.31 GB. Uncommitted. History still holds the 90 MB blob (D-01).</t>
        </is>
      </c>
    </row>
    <row r="7">
      <c r="A7" s="12" t="inlineStr">
        <is>
          <t>M0-06</t>
        </is>
      </c>
      <c r="B7" s="13" t="inlineStr">
        <is>
          <t>M0 - Recovery &amp; local dev</t>
        </is>
      </c>
      <c r="C7" s="13" t="inlineStr">
        <is>
          <t>Make Flyway the schema authority</t>
        </is>
      </c>
      <c r="D7" s="12" t="inlineStr">
        <is>
          <t>BE</t>
        </is>
      </c>
      <c r="E7" s="12" t="inlineStr">
        <is>
          <t>P1</t>
        </is>
      </c>
      <c r="F7" s="12" t="inlineStr">
        <is>
          <t>S</t>
        </is>
      </c>
      <c r="G7" s="12">
        <f>IFERROR(INDEX(Lookups!$B$2:$B$5,MATCH(F7,Lookups!$A$2:$A$5,0)),"")</f>
        <v/>
      </c>
      <c r="H7" s="13" t="inlineStr"/>
      <c r="I7" s="14" t="inlineStr">
        <is>
          <t>Done</t>
        </is>
      </c>
      <c r="J7" s="14" t="inlineStr">
        <is>
          <t>2026-10-21</t>
        </is>
      </c>
      <c r="K7" s="14" t="inlineStr">
        <is>
          <t>2026-10-21</t>
        </is>
      </c>
      <c r="L7" s="13" t="inlineStr">
        <is>
          <t>ddl-auto=validate in all profiles. V2__enable_pgvector.sql creates the vector extension. Spring AI initialize-schema=false once M6-01 lands (until then, keep it true and document why).</t>
        </is>
      </c>
      <c r="M7" s="13" t="inlineStr">
        <is>
          <t>an empty DB migrates cleanly and Hibernate validation passes.</t>
        </is>
      </c>
      <c r="N7" s="13" t="inlineStr">
        <is>
          <t>M0-07 integration test boots against an empty Testcontainers DB.</t>
        </is>
      </c>
      <c r="O7" s="13" t="inlineStr"/>
      <c r="P7" s="15" t="inlineStr">
        <is>
          <t>ddl-auto=validate everywhere; V2__enable_pgvector.sql. Verified on fresh DB (Testcontainers) and existing dev DB (V2 applied, validate OK). vector_store still created by Spring AI until M6-01. Uncommitted.</t>
        </is>
      </c>
    </row>
    <row r="8">
      <c r="A8" s="12" t="inlineStr">
        <is>
          <t>M0-07</t>
        </is>
      </c>
      <c r="B8" s="13" t="inlineStr">
        <is>
          <t>M0 - Recovery &amp; local dev</t>
        </is>
      </c>
      <c r="C8" s="13" t="inlineStr">
        <is>
          <t>Test harness: Testcontainers integration base</t>
        </is>
      </c>
      <c r="D8" s="12" t="inlineStr">
        <is>
          <t>BE</t>
        </is>
      </c>
      <c r="E8" s="12" t="inlineStr">
        <is>
          <t>P0</t>
        </is>
      </c>
      <c r="F8" s="12" t="inlineStr">
        <is>
          <t>M</t>
        </is>
      </c>
      <c r="G8" s="12">
        <f>IFERROR(INDEX(Lookups!$B$2:$B$5,MATCH(F8,Lookups!$A$2:$A$5,0)),"")</f>
        <v/>
      </c>
      <c r="H8" s="13" t="inlineStr">
        <is>
          <t>Docker installed, M0-04.</t>
        </is>
      </c>
      <c r="I8" s="14" t="inlineStr">
        <is>
          <t>Done</t>
        </is>
      </c>
      <c r="J8" s="14" t="inlineStr">
        <is>
          <t>2026-10-21</t>
        </is>
      </c>
      <c r="K8" s="14" t="inlineStr">
        <is>
          <t>2026-10-21</t>
        </is>
      </c>
      <c r="L8" s="13" t="inlineStr">
        <is>
          <t>spring-boot-testcontainers + testcontainers-postgresql (pgvector image) + a Redis container. An AbstractIntegrationTest with @ServiceConnection. A test profile with ai.provider=mock and the embedding model stubbed or cached. contextLoads replaced by a smoke test (health UP + register/login round trip).</t>
        </is>
      </c>
      <c r="M8" s="13" t="inlineStr">
        <is>
          <t>./mvnw verify passes from a clean clone with only Docker running.</t>
        </is>
      </c>
      <c r="N8" s="13" t="inlineStr">
        <is>
          <t>./mvnw verify locally (output pasted in the PR).</t>
        </is>
      </c>
      <c r="O8" s="13" t="inlineStr"/>
      <c r="P8" s="15" t="inlineStr">
        <is>
          <t>AbstractIntegrationTest (pgvector + Redis containers, @ServiceConnection) + 3-test smoke suite; contextLoads removed. ./mvnw verify: 3 tests, 0 failures; also passes without .env. Testcontainers pinned to 1.21.4 (1.21.3 fails on Docker 29). Uncommitted.</t>
        </is>
      </c>
    </row>
    <row r="9">
      <c r="A9" s="12" t="inlineStr">
        <is>
          <t>M0-08</t>
        </is>
      </c>
      <c r="B9" s="13" t="inlineStr">
        <is>
          <t>M0 - Recovery &amp; local dev</t>
        </is>
      </c>
      <c r="C9" s="13" t="inlineStr">
        <is>
          <t>GitHub Actions CI</t>
        </is>
      </c>
      <c r="D9" s="12" t="inlineStr">
        <is>
          <t>INF</t>
        </is>
      </c>
      <c r="E9" s="12" t="inlineStr">
        <is>
          <t>P1</t>
        </is>
      </c>
      <c r="F9" s="12" t="inlineStr">
        <is>
          <t>S</t>
        </is>
      </c>
      <c r="G9" s="12">
        <f>IFERROR(INDEX(Lookups!$B$2:$B$5,MATCH(F9,Lookups!$A$2:$A$5,0)),"")</f>
        <v/>
      </c>
      <c r="H9" s="13" t="inlineStr"/>
      <c r="I9" s="14" t="inlineStr">
        <is>
          <t>In progress</t>
        </is>
      </c>
      <c r="J9" s="14" t="inlineStr">
        <is>
          <t>2026-10-21</t>
        </is>
      </c>
      <c r="K9" s="14" t="inlineStr"/>
      <c r="L9" s="13" t="inlineStr">
        <is>
          <t>.github/workflows/ci.yml runs on PRs: JDK 21 setup, Maven cache, ./mvnw verify, gitleaks secret scan. A frontend job is added in M2-03.</t>
        </is>
      </c>
      <c r="M9" s="13" t="inlineStr">
        <is>
          <t>CI green on a PR. Branch protection on main requires it (you configure this in GitHub settings).</t>
        </is>
      </c>
      <c r="N9" s="13" t="inlineStr">
        <is>
          <t>the PR shows a passing check.</t>
        </is>
      </c>
      <c r="O9" s="13" t="inlineStr"/>
      <c r="P9" s="15" t="inlineStr">
        <is>
          <t>ci.yml written (backend verify + model cache + gitleaks on HEAD with custom .gitleaks.toml rule). actionlint clean; gitleaks verified locally (catches old leak, current files clean). NOT yet run on GitHub - mark Done after the first green run. Commit must include mvnw exec bit. Branch protection is yours to enable.</t>
        </is>
      </c>
    </row>
    <row r="10">
      <c r="A10" s="12" t="inlineStr">
        <is>
          <t>M1-01</t>
        </is>
      </c>
      <c r="B10" s="13" t="inlineStr">
        <is>
          <t>M1 - Backend stabilization &amp; security</t>
        </is>
      </c>
      <c r="C10" s="13" t="inlineStr">
        <is>
          <t>Response DTOs for repositories and pull requests</t>
        </is>
      </c>
      <c r="D10" s="12" t="inlineStr">
        <is>
          <t>BE</t>
        </is>
      </c>
      <c r="E10" s="12" t="inlineStr">
        <is>
          <t>P0</t>
        </is>
      </c>
      <c r="F10" s="12" t="inlineStr">
        <is>
          <t>M</t>
        </is>
      </c>
      <c r="G10" s="12">
        <f>IFERROR(INDEX(Lookups!$B$2:$B$5,MATCH(F10,Lookups!$A$2:$A$5,0)),"")</f>
        <v/>
      </c>
      <c r="H10" s="13" t="inlineStr"/>
      <c r="I10" s="14" t="inlineStr">
        <is>
          <t>Not started</t>
        </is>
      </c>
      <c r="J10" s="14" t="inlineStr"/>
      <c r="K10" s="14" t="inlineStr"/>
      <c r="L10" s="13" t="inlineStr">
        <is>
          <t>RepositoryResponse, PullRequestSummaryResponse, PullRequestDetailResponse (records) plus mappers. No controller returns an entity.</t>
        </is>
      </c>
      <c r="M10" s="13" t="inlineStr">
        <is>
          <t>grep -rn "ResponseEntity&lt;GitHubRepository&gt;\|ResponseEntity&lt;PullRequest&gt;\|List&lt;PullRequest&gt;&gt;" controller/ is empty. No response contains accessToken or refreshToken.</t>
        </is>
      </c>
      <c r="N10" s="13" t="inlineStr">
        <is>
          <t>MockMvc tests assert the JSON shape and the absence of token fields.</t>
        </is>
      </c>
      <c r="O10" s="13" t="inlineStr">
        <is>
          <t>GitHubRepositoryController, PullRequestController, new dto/github/*, new mapper/ package (or static factory methods).</t>
        </is>
      </c>
      <c r="P10" s="15" t="inlineStr"/>
    </row>
    <row r="11">
      <c r="A11" s="12" t="inlineStr">
        <is>
          <t>M1-02</t>
        </is>
      </c>
      <c r="B11" s="13" t="inlineStr">
        <is>
          <t>M1 - Backend stabilization &amp; security</t>
        </is>
      </c>
      <c r="C11" s="13" t="inlineStr">
        <is>
          <t>Ownership enforcement (fix IDOR)</t>
        </is>
      </c>
      <c r="D11" s="12" t="inlineStr">
        <is>
          <t>BE</t>
        </is>
      </c>
      <c r="E11" s="12" t="inlineStr">
        <is>
          <t>P0</t>
        </is>
      </c>
      <c r="F11" s="12" t="inlineStr">
        <is>
          <t>M</t>
        </is>
      </c>
      <c r="G11" s="12">
        <f>IFERROR(INDEX(Lookups!$B$2:$B$5,MATCH(F11,Lookups!$A$2:$A$5,0)),"")</f>
        <v/>
      </c>
      <c r="H11" s="13" t="inlineStr">
        <is>
          <t>M1-01.</t>
        </is>
      </c>
      <c r="I11" s="14" t="inlineStr">
        <is>
          <t>Not started</t>
        </is>
      </c>
      <c r="J11" s="14" t="inlineStr"/>
      <c r="K11" s="14" t="inlineStr"/>
      <c r="L11" s="13" t="inlineStr">
        <is>
          <t>every repo/PR read or delete is resolved through the authenticated user's GitHub account (e.g. findByIdAndGithubAccountUserId). Unknown or foreign IDs → 404.</t>
        </is>
      </c>
      <c r="M11" s="13" t="inlineStr">
        <is>
          <t>user B gets 404 for every endpoint using user A's IDs. The /account/{accountId} endpoint is replaced by a "mine" endpoint (M3-05) or locked down.</t>
        </is>
      </c>
      <c r="N11" s="13" t="inlineStr">
        <is>
          <t>integration tests with two users.</t>
        </is>
      </c>
      <c r="O11" s="13" t="inlineStr"/>
      <c r="P11" s="15" t="inlineStr"/>
    </row>
    <row r="12">
      <c r="A12" s="12" t="inlineStr">
        <is>
          <t>M1-03</t>
        </is>
      </c>
      <c r="B12" s="13" t="inlineStr">
        <is>
          <t>M1 - Backend stabilization &amp; security</t>
        </is>
      </c>
      <c r="C12" s="13" t="inlineStr">
        <is>
          <t>Robust JWT filter + JSON 401/403</t>
        </is>
      </c>
      <c r="D12" s="12" t="inlineStr">
        <is>
          <t>BE</t>
        </is>
      </c>
      <c r="E12" s="12" t="inlineStr">
        <is>
          <t>P0</t>
        </is>
      </c>
      <c r="F12" s="12" t="inlineStr">
        <is>
          <t>S</t>
        </is>
      </c>
      <c r="G12" s="12">
        <f>IFERROR(INDEX(Lookups!$B$2:$B$5,MATCH(F12,Lookups!$A$2:$A$5,0)),"")</f>
        <v/>
      </c>
      <c r="H12" s="13" t="inlineStr"/>
      <c r="I12" s="14" t="inlineStr">
        <is>
          <t>Not started</t>
        </is>
      </c>
      <c r="J12" s="14" t="inlineStr"/>
      <c r="K12" s="14" t="inlineStr"/>
      <c r="L12" s="13" t="inlineStr">
        <is>
          <t>malformed, expired, bad-signature, or blacklisted tokens → request continues unauthenticated → a JSON 401 from a custom AuthenticationEntryPoint. Add a JSON AccessDeniedHandler. Logout tolerates invalid tokens.</t>
        </is>
      </c>
      <c r="M12" s="13" t="inlineStr">
        <is>
          <t>each bad-token variant returns 401 {"status":401,...}, never 500.</t>
        </is>
      </c>
      <c r="N12" s="13" t="inlineStr">
        <is>
          <t>unit tests for JwtService; MockMvc tests for each token variant.</t>
        </is>
      </c>
      <c r="O12" s="13" t="inlineStr">
        <is>
          <t>JwtAuthenticationFilter, SecurityConfig, AuthController.logout.</t>
        </is>
      </c>
      <c r="P12" s="15" t="inlineStr">
        <is>
          <t>Observed 2026-10-21: a logged-out (blacklisted) token returns 403 instead of 401.</t>
        </is>
      </c>
    </row>
    <row r="13">
      <c r="A13" s="12" t="inlineStr">
        <is>
          <t>M1-04</t>
        </is>
      </c>
      <c r="B13" s="13" t="inlineStr">
        <is>
          <t>M1 - Backend stabilization &amp; security</t>
        </is>
      </c>
      <c r="C13" s="13" t="inlineStr">
        <is>
          <t>Complete the error contract</t>
        </is>
      </c>
      <c r="D13" s="12" t="inlineStr">
        <is>
          <t>BE</t>
        </is>
      </c>
      <c r="E13" s="12" t="inlineStr">
        <is>
          <t>P1</t>
        </is>
      </c>
      <c r="F13" s="12" t="inlineStr">
        <is>
          <t>S</t>
        </is>
      </c>
      <c r="G13" s="12">
        <f>IFERROR(INDEX(Lookups!$B$2:$B$5,MATCH(F13,Lookups!$A$2:$A$5,0)),"")</f>
        <v/>
      </c>
      <c r="H13" s="13" t="inlineStr"/>
      <c r="I13" s="14" t="inlineStr">
        <is>
          <t>Not started</t>
        </is>
      </c>
      <c r="J13" s="14" t="inlineStr"/>
      <c r="K13" s="14" t="inlineStr"/>
      <c r="L13" s="13" t="inlineStr">
        <is>
          <t>handlers for AIServiceException (502), AccessDeniedException (403), HttpMessageNotReadable/MethodArgumentTypeMismatch/ConstraintViolation (400), and a catch-all (500, no stack trace in the body). RuntimeException("User not found") is replaced with ResourceNotFoundException. ErrorResponse gains path and optional errors[].</t>
        </is>
      </c>
      <c r="M13" s="13" t="inlineStr">
        <is>
          <t>documented error shape used by every endpoint.</t>
        </is>
      </c>
      <c r="N13" s="13" t="inlineStr">
        <is>
          <t>MockMvc tests per handler.</t>
        </is>
      </c>
      <c r="O13" s="13" t="inlineStr"/>
      <c r="P13" s="15" t="inlineStr"/>
    </row>
    <row r="14">
      <c r="A14" s="12" t="inlineStr">
        <is>
          <t>M1-05</t>
        </is>
      </c>
      <c r="B14" s="13" t="inlineStr">
        <is>
          <t>M1 - Backend stabilization &amp; security</t>
        </is>
      </c>
      <c r="C14" s="13" t="inlineStr">
        <is>
          <t>Fix the PR cache serialization</t>
        </is>
      </c>
      <c r="D14" s="12" t="inlineStr">
        <is>
          <t>BE</t>
        </is>
      </c>
      <c r="E14" s="12" t="inlineStr">
        <is>
          <t>P1</t>
        </is>
      </c>
      <c r="F14" s="12" t="inlineStr">
        <is>
          <t>S</t>
        </is>
      </c>
      <c r="G14" s="12">
        <f>IFERROR(INDEX(Lookups!$B$2:$B$5,MATCH(F14,Lookups!$A$2:$A$5,0)),"")</f>
        <v/>
      </c>
      <c r="H14" s="13" t="inlineStr">
        <is>
          <t>M1-01.</t>
        </is>
      </c>
      <c r="I14" s="14" t="inlineStr">
        <is>
          <t>Not started</t>
        </is>
      </c>
      <c r="J14" s="14" t="inlineStr"/>
      <c r="K14" s="14" t="inlineStr"/>
      <c r="L14" s="13" t="inlineStr">
        <is>
          <t>cache stores List&lt;PullRequestSummaryResponse&gt; with typed deserialization. The JsonNode → List&lt;PullRequest&gt; cast is removed.</t>
        </is>
      </c>
      <c r="M14" s="13" t="inlineStr">
        <is>
          <t>sync with PRs succeeds. Cache round-trip returns equal DTOs.</t>
        </is>
      </c>
      <c r="N14" s="13" t="inlineStr">
        <is>
          <t>integration test with a Redis container and a mocked GitHubApiClient.</t>
        </is>
      </c>
      <c r="O14" s="13" t="inlineStr">
        <is>
          <t>GitHubCacheService(Impl), PullRequestServiceImpl.</t>
        </is>
      </c>
      <c r="P14" s="15" t="inlineStr"/>
    </row>
    <row r="15">
      <c r="A15" s="12" t="inlineStr">
        <is>
          <t>M1-06</t>
        </is>
      </c>
      <c r="B15" s="13" t="inlineStr">
        <is>
          <t>M1 - Backend stabilization &amp; security</t>
        </is>
      </c>
      <c r="C15" s="13" t="inlineStr">
        <is>
          <t>CORS for the SPA</t>
        </is>
      </c>
      <c r="D15" s="12" t="inlineStr">
        <is>
          <t>BE</t>
        </is>
      </c>
      <c r="E15" s="12" t="inlineStr">
        <is>
          <t>P1</t>
        </is>
      </c>
      <c r="F15" s="12" t="inlineStr">
        <is>
          <t>S</t>
        </is>
      </c>
      <c r="G15" s="12">
        <f>IFERROR(INDEX(Lookups!$B$2:$B$5,MATCH(F15,Lookups!$A$2:$A$5,0)),"")</f>
        <v/>
      </c>
      <c r="H15" s="13" t="inlineStr"/>
      <c r="I15" s="14" t="inlineStr">
        <is>
          <t>Not started</t>
        </is>
      </c>
      <c r="J15" s="14" t="inlineStr"/>
      <c r="K15" s="14" t="inlineStr"/>
      <c r="L15" s="13" t="inlineStr">
        <is>
          <t>CorsConfigurationSource driven by APP_ALLOWED_ORIGINS (default http://localhost:5173). Allows Authorization and Content-Type.</t>
        </is>
      </c>
      <c r="M15" s="13" t="inlineStr">
        <is>
          <t>a preflight from the allowed origin passes. Other origins are rejected.</t>
        </is>
      </c>
      <c r="N15" s="13" t="inlineStr">
        <is>
          <t>MockMvc preflight test; browser check in M2.</t>
        </is>
      </c>
      <c r="O15" s="13" t="inlineStr"/>
      <c r="P15" s="15" t="inlineStr"/>
    </row>
    <row r="16">
      <c r="A16" s="12" t="inlineStr">
        <is>
          <t>M1-07</t>
        </is>
      </c>
      <c r="B16" s="13" t="inlineStr">
        <is>
          <t>M1 - Backend stabilization &amp; security</t>
        </is>
      </c>
      <c r="C16" s="13" t="inlineStr">
        <is>
          <t>Consistent JSON success responses</t>
        </is>
      </c>
      <c r="D16" s="12" t="inlineStr">
        <is>
          <t>BE</t>
        </is>
      </c>
      <c r="E16" s="12" t="inlineStr">
        <is>
          <t>P2</t>
        </is>
      </c>
      <c r="F16" s="12" t="inlineStr">
        <is>
          <t>S</t>
        </is>
      </c>
      <c r="G16" s="12">
        <f>IFERROR(INDEX(Lookups!$B$2:$B$5,MATCH(F16,Lookups!$A$2:$A$5,0)),"")</f>
        <v/>
      </c>
      <c r="H16" s="13" t="inlineStr"/>
      <c r="I16" s="14" t="inlineStr">
        <is>
          <t>Not started</t>
        </is>
      </c>
      <c r="J16" s="14" t="inlineStr"/>
      <c r="K16" s="14" t="inlineStr"/>
      <c r="L16" s="13" t="inlineStr">
        <is>
          <t>register returns 201 + {id,email,name}. Password change returns 204. OAuth authorize returns {url}.</t>
        </is>
      </c>
      <c r="M16" s="13" t="inlineStr">
        <is>
          <t>no text/plain responses under /api/.</t>
        </is>
      </c>
      <c r="N16" s="13" t="inlineStr">
        <is>
          <t>MockMvc.</t>
        </is>
      </c>
      <c r="O16" s="13" t="inlineStr"/>
      <c r="P16" s="15" t="inlineStr"/>
    </row>
    <row r="17">
      <c r="A17" s="12" t="inlineStr">
        <is>
          <t>M1-08</t>
        </is>
      </c>
      <c r="B17" s="13" t="inlineStr">
        <is>
          <t>M1 - Backend stabilization &amp; security</t>
        </is>
      </c>
      <c r="C17" s="13" t="inlineStr">
        <is>
          <t>Remove dead and unsafe code</t>
        </is>
      </c>
      <c r="D17" s="12" t="inlineStr">
        <is>
          <t>BE</t>
        </is>
      </c>
      <c r="E17" s="12" t="inlineStr">
        <is>
          <t>P1</t>
        </is>
      </c>
      <c r="F17" s="12" t="inlineStr">
        <is>
          <t>S</t>
        </is>
      </c>
      <c r="G17" s="12">
        <f>IFERROR(INDEX(Lookups!$B$2:$B$5,MATCH(F17,Lookups!$A$2:$A$5,0)),"")</f>
        <v/>
      </c>
      <c r="H17" s="13" t="inlineStr"/>
      <c r="I17" s="14" t="inlineStr">
        <is>
          <t>Not started</t>
        </is>
      </c>
      <c r="J17" s="14" t="inlineStr"/>
      <c r="K17" s="14" t="inlineStr"/>
      <c r="L17" s="13" t="inlineStr">
        <is>
          <t>delete POST /api/github/connect (+ ConnectGitHubRequest, related service method), the inner AuthController.TestController, S3TestController, VectorStoreController, and unused AIChatRequest/Response. Fix the S3Service package. Keep S3Service only if D-08 says so.</t>
        </is>
      </c>
      <c r="M17" s="13" t="inlineStr">
        <is>
          <t>compile + tests pass. Endpoint list matches FEATURE_MATRIX after cleanup.</t>
        </is>
      </c>
      <c r="N17" s="13" t="inlineStr">
        <is>
          <t>./mvnw verify; check the OpenAPI listing once M2-02 lands.</t>
        </is>
      </c>
      <c r="O17" s="13" t="inlineStr"/>
      <c r="P17" s="15" t="inlineStr"/>
    </row>
    <row r="18">
      <c r="A18" s="12" t="inlineStr">
        <is>
          <t>M1-09</t>
        </is>
      </c>
      <c r="B18" s="13" t="inlineStr">
        <is>
          <t>M1 - Backend stabilization &amp; security</t>
        </is>
      </c>
      <c r="C18" s="13" t="inlineStr">
        <is>
          <t>Encrypt GitHub tokens at rest</t>
        </is>
      </c>
      <c r="D18" s="12" t="inlineStr">
        <is>
          <t>BE</t>
        </is>
      </c>
      <c r="E18" s="12" t="inlineStr">
        <is>
          <t>P1</t>
        </is>
      </c>
      <c r="F18" s="12" t="inlineStr">
        <is>
          <t>M</t>
        </is>
      </c>
      <c r="G18" s="12">
        <f>IFERROR(INDEX(Lookups!$B$2:$B$5,MATCH(F18,Lookups!$A$2:$A$5,0)),"")</f>
        <v/>
      </c>
      <c r="H18" s="13" t="inlineStr"/>
      <c r="I18" s="14" t="inlineStr">
        <is>
          <t>Not started</t>
        </is>
      </c>
      <c r="J18" s="14" t="inlineStr"/>
      <c r="K18" s="14" t="inlineStr"/>
      <c r="L18" s="13" t="inlineStr">
        <is>
          <t>a JPA AttributeConverter with AES-GCM, key from TOKEN_ENCRYPTION_KEY (KMS later). The migration widens columns and makes refresh_token nullable (also needed by M3-01). Existing rows are re-encrypted or cleared (users reconnect).</t>
        </is>
      </c>
      <c r="M18" s="13" t="inlineStr">
        <is>
          <t>DB column values aren't plaintext tokens. The app still calls GitHub successfully.</t>
        </is>
      </c>
      <c r="N18" s="13" t="inlineStr">
        <is>
          <t>unit test for the converter; integration test reads the raw column via JDBC.</t>
        </is>
      </c>
      <c r="O18" s="13" t="inlineStr"/>
      <c r="P18" s="15" t="inlineStr"/>
    </row>
    <row r="19">
      <c r="A19" s="12" t="inlineStr">
        <is>
          <t>M1-10</t>
        </is>
      </c>
      <c r="B19" s="13" t="inlineStr">
        <is>
          <t>M1 - Backend stabilization &amp; security</t>
        </is>
      </c>
      <c r="C19" s="13" t="inlineStr">
        <is>
          <t>Audit timestamps</t>
        </is>
      </c>
      <c r="D19" s="12" t="inlineStr">
        <is>
          <t>BE</t>
        </is>
      </c>
      <c r="E19" s="12" t="inlineStr">
        <is>
          <t>P2</t>
        </is>
      </c>
      <c r="F19" s="12" t="inlineStr">
        <is>
          <t>S</t>
        </is>
      </c>
      <c r="G19" s="12">
        <f>IFERROR(INDEX(Lookups!$B$2:$B$5,MATCH(F19,Lookups!$A$2:$A$5,0)),"")</f>
        <v/>
      </c>
      <c r="H19" s="13" t="inlineStr"/>
      <c r="I19" s="14" t="inlineStr">
        <is>
          <t>Not started</t>
        </is>
      </c>
      <c r="J19" s="14" t="inlineStr"/>
      <c r="K19" s="14" t="inlineStr"/>
      <c r="L19" s="13" t="inlineStr">
        <is>
          <t>@EnableJpaAuditing + @CreatedDate/@LastModifiedDate (or Hibernate @CreationTimestamp) on BaseEntity.</t>
        </is>
      </c>
      <c r="M19" s="13" t="inlineStr">
        <is>
          <t>Expected Outcome delivered and all Verification checks pass.</t>
        </is>
      </c>
      <c r="N19" s="13" t="inlineStr">
        <is>
          <t>an integration test asserts non-null createdAt/updatedAt after save/update.</t>
        </is>
      </c>
      <c r="O19" s="13" t="inlineStr"/>
      <c r="P19" s="15" t="inlineStr"/>
    </row>
    <row r="20">
      <c r="A20" s="12" t="inlineStr">
        <is>
          <t>M2-01</t>
        </is>
      </c>
      <c r="B20" s="13" t="inlineStr">
        <is>
          <t>M2 - Frontend foundation + auth</t>
        </is>
      </c>
      <c r="C20" s="13" t="inlineStr">
        <is>
          <t>GET /api/auth/me</t>
        </is>
      </c>
      <c r="D20" s="12" t="inlineStr">
        <is>
          <t>BE</t>
        </is>
      </c>
      <c r="E20" s="12" t="inlineStr">
        <is>
          <t>P0</t>
        </is>
      </c>
      <c r="F20" s="12" t="inlineStr">
        <is>
          <t>S</t>
        </is>
      </c>
      <c r="G20" s="12">
        <f>IFERROR(INDEX(Lookups!$B$2:$B$5,MATCH(F20,Lookups!$A$2:$A$5,0)),"")</f>
        <v/>
      </c>
      <c r="H20" s="13" t="inlineStr"/>
      <c r="I20" s="14" t="inlineStr">
        <is>
          <t>Not started</t>
        </is>
      </c>
      <c r="J20" s="14" t="inlineStr"/>
      <c r="K20" s="14" t="inlineStr"/>
      <c r="L20" s="13" t="inlineStr">
        <is>
          <t>returns {id,name,email,role,github:{connected,username,avatarUrl}}, read from the DB. /api/profile GET stays as an alias, or is deprecated.</t>
        </is>
      </c>
      <c r="M20" s="13" t="inlineStr">
        <is>
          <t>Expected Outcome delivered and all Verification checks pass.</t>
        </is>
      </c>
      <c r="N20" s="13" t="inlineStr">
        <is>
          <t>MockMvc with and without a GitHub account.</t>
        </is>
      </c>
      <c r="O20" s="13" t="inlineStr"/>
      <c r="P20" s="15" t="inlineStr"/>
    </row>
    <row r="21">
      <c r="A21" s="12" t="inlineStr">
        <is>
          <t>M2-02</t>
        </is>
      </c>
      <c r="B21" s="13" t="inlineStr">
        <is>
          <t>M2 - Frontend foundation + auth</t>
        </is>
      </c>
      <c r="C21" s="13" t="inlineStr">
        <is>
          <t>OpenAPI documentation</t>
        </is>
      </c>
      <c r="D21" s="12" t="inlineStr">
        <is>
          <t>BE</t>
        </is>
      </c>
      <c r="E21" s="12" t="inlineStr">
        <is>
          <t>P1</t>
        </is>
      </c>
      <c r="F21" s="12" t="inlineStr">
        <is>
          <t>S</t>
        </is>
      </c>
      <c r="G21" s="12">
        <f>IFERROR(INDEX(Lookups!$B$2:$B$5,MATCH(F21,Lookups!$A$2:$A$5,0)),"")</f>
        <v/>
      </c>
      <c r="H21" s="13" t="inlineStr"/>
      <c r="I21" s="14" t="inlineStr">
        <is>
          <t>Not started</t>
        </is>
      </c>
      <c r="J21" s="14" t="inlineStr"/>
      <c r="K21" s="14" t="inlineStr"/>
      <c r="L21" s="13" t="inlineStr">
        <is>
          <t>springdoc-openapi-starter-webmvc-ui. /v3/api-docs and /swagger-ui are public in local/dev only. A Bearer security scheme is declared.</t>
        </is>
      </c>
      <c r="M21" s="13" t="inlineStr">
        <is>
          <t>Expected Outcome delivered and all Verification checks pass.</t>
        </is>
      </c>
      <c r="N21" s="13" t="inlineStr">
        <is>
          <t>Swagger UI lists every endpoint. In the prod profile, the docs return 404.</t>
        </is>
      </c>
      <c r="O21" s="13" t="inlineStr"/>
      <c r="P21" s="15" t="inlineStr"/>
    </row>
    <row r="22">
      <c r="A22" s="12" t="inlineStr">
        <is>
          <t>M2-03</t>
        </is>
      </c>
      <c r="B22" s="13" t="inlineStr">
        <is>
          <t>M2 - Frontend foundation + auth</t>
        </is>
      </c>
      <c r="C22" s="13" t="inlineStr">
        <is>
          <t>Scaffold the React app</t>
        </is>
      </c>
      <c r="D22" s="12" t="inlineStr">
        <is>
          <t>FE</t>
        </is>
      </c>
      <c r="E22" s="12" t="inlineStr">
        <is>
          <t>P0</t>
        </is>
      </c>
      <c r="F22" s="12" t="inlineStr">
        <is>
          <t>M</t>
        </is>
      </c>
      <c r="G22" s="12">
        <f>IFERROR(INDEX(Lookups!$B$2:$B$5,MATCH(F22,Lookups!$A$2:$A$5,0)),"")</f>
        <v/>
      </c>
      <c r="H22" s="13" t="inlineStr">
        <is>
          <t>D-04 (repo layout), D-11 (stack).</t>
        </is>
      </c>
      <c r="I22" s="14" t="inlineStr">
        <is>
          <t>Not started</t>
        </is>
      </c>
      <c r="J22" s="14" t="inlineStr"/>
      <c r="K22" s="14" t="inlineStr"/>
      <c r="L22" s="13" t="inlineStr">
        <is>
          <t>frontend/ with Vite + React + TypeScript (strict), ESLint + Prettier, Vitest + React Testing Library, MSW for API mocks, path aliases, .env.example (VITE_API_BASE_URL), and a CI job (lint, typecheck, test, build).</t>
        </is>
      </c>
      <c r="M22" s="13" t="inlineStr">
        <is>
          <t>Expected Outcome delivered and all Verification checks pass.</t>
        </is>
      </c>
      <c r="N22" s="13" t="inlineStr">
        <is>
          <t>npm run lint &amp;&amp; npm run typecheck &amp;&amp; npm test &amp;&amp; npm run build in CI.</t>
        </is>
      </c>
      <c r="O22" s="13" t="inlineStr">
        <is>
          <t>src/app (router, providers), src/features/&lt;feature&gt;/{api,components,pages,hooks}, src/components/ui (design system), src/lib (api client, utils), src/types (generated from OpenAPI).</t>
        </is>
      </c>
      <c r="P22" s="15" t="inlineStr"/>
    </row>
    <row r="23">
      <c r="A23" s="12" t="inlineStr">
        <is>
          <t>M2-04</t>
        </is>
      </c>
      <c r="B23" s="13" t="inlineStr">
        <is>
          <t>M2 - Frontend foundation + auth</t>
        </is>
      </c>
      <c r="C23" s="13" t="inlineStr">
        <is>
          <t>Auth flows</t>
        </is>
      </c>
      <c r="D23" s="12" t="inlineStr">
        <is>
          <t>FS</t>
        </is>
      </c>
      <c r="E23" s="12" t="inlineStr">
        <is>
          <t>P0</t>
        </is>
      </c>
      <c r="F23" s="12" t="inlineStr">
        <is>
          <t>L</t>
        </is>
      </c>
      <c r="G23" s="12">
        <f>IFERROR(INDEX(Lookups!$B$2:$B$5,MATCH(F23,Lookups!$A$2:$A$5,0)),"")</f>
        <v/>
      </c>
      <c r="H23" s="13" t="inlineStr">
        <is>
          <t>M1-03, M1-06, M2-01, M2-03.</t>
        </is>
      </c>
      <c r="I23" s="14" t="inlineStr">
        <is>
          <t>Not started</t>
        </is>
      </c>
      <c r="J23" s="14" t="inlineStr"/>
      <c r="K23" s="14" t="inlineStr"/>
      <c r="L23" s="13" t="inlineStr">
        <is>
          <t>/login and /register pages (react-hook-form + zod mirroring backend validation), API client with Bearer injection and a 401 interceptor → logout + redirect, auth store (per D-05), &lt;RequireAuth&gt; route guard, session bootstrap via /api/auth/me, logout.</t>
        </is>
      </c>
      <c r="M23" s="13" t="inlineStr">
        <is>
          <t>field-level server errors are shown (409 duplicate email, 401 bad credentials). A refresh keeps the session. An expired token redirects to login.</t>
        </is>
      </c>
      <c r="N23" s="13" t="inlineStr">
        <is>
          <t>RTL tests with MSW; a manual check against the real backend.</t>
        </is>
      </c>
      <c r="O23" s="13" t="inlineStr"/>
      <c r="P23" s="15" t="inlineStr"/>
    </row>
    <row r="24">
      <c r="A24" s="12" t="inlineStr">
        <is>
          <t>M2-05</t>
        </is>
      </c>
      <c r="B24" s="13" t="inlineStr">
        <is>
          <t>M2 - Frontend foundation + auth</t>
        </is>
      </c>
      <c r="C24" s="13" t="inlineStr">
        <is>
          <t>App shell and design system</t>
        </is>
      </c>
      <c r="D24" s="12" t="inlineStr">
        <is>
          <t>FE</t>
        </is>
      </c>
      <c r="E24" s="12" t="inlineStr">
        <is>
          <t>P0</t>
        </is>
      </c>
      <c r="F24" s="12" t="inlineStr">
        <is>
          <t>L</t>
        </is>
      </c>
      <c r="G24" s="12">
        <f>IFERROR(INDEX(Lookups!$B$2:$B$5,MATCH(F24,Lookups!$A$2:$A$5,0)),"")</f>
        <v/>
      </c>
      <c r="H24" s="13" t="inlineStr"/>
      <c r="I24" s="14" t="inlineStr">
        <is>
          <t>Not started</t>
        </is>
      </c>
      <c r="J24" s="14" t="inlineStr"/>
      <c r="K24" s="14" t="inlineStr"/>
      <c r="L24" s="13" t="inlineStr">
        <is>
          <t>responsive layout (sidebar + topbar, mobile drawer), light/dark theme, and shared components: Button, Input, Select, Card, Badge (severity colours), Table, Tabs, Dialog, Toast, Skeleton, EmptyState, ErrorState (with retry), Pagination, CodeBlock. NotFound page and error boundary.</t>
        </is>
      </c>
      <c r="M24" s="13" t="inlineStr">
        <is>
          <t>works at 360 px width with no horizontal scroll. Keyboard navigable. Colour contrast AA.</t>
        </is>
      </c>
      <c r="N24" s="13" t="inlineStr">
        <is>
          <t>Vitest component tests; a manual viewport check.</t>
        </is>
      </c>
      <c r="O24" s="13" t="inlineStr"/>
      <c r="P24" s="15" t="inlineStr"/>
    </row>
    <row r="25">
      <c r="A25" s="12" t="inlineStr">
        <is>
          <t>M2-06</t>
        </is>
      </c>
      <c r="B25" s="13" t="inlineStr">
        <is>
          <t>M2 - Frontend foundation + auth</t>
        </is>
      </c>
      <c r="C25" s="13" t="inlineStr">
        <is>
          <t>Settings: profile and password</t>
        </is>
      </c>
      <c r="D25" s="12" t="inlineStr">
        <is>
          <t>FE</t>
        </is>
      </c>
      <c r="E25" s="12" t="inlineStr">
        <is>
          <t>P1</t>
        </is>
      </c>
      <c r="F25" s="12" t="inlineStr">
        <is>
          <t>M</t>
        </is>
      </c>
      <c r="G25" s="12">
        <f>IFERROR(INDEX(Lookups!$B$2:$B$5,MATCH(F25,Lookups!$A$2:$A$5,0)),"")</f>
        <v/>
      </c>
      <c r="H25" s="13" t="inlineStr"/>
      <c r="I25" s="14" t="inlineStr">
        <is>
          <t>Not started</t>
        </is>
      </c>
      <c r="J25" s="14" t="inlineStr"/>
      <c r="K25" s="14" t="inlineStr"/>
      <c r="L25" s="13" t="inlineStr">
        <is>
          <t>/settings/profile (update name/email), /settings/security (change password). Success toasts and server-side validation errors.</t>
        </is>
      </c>
      <c r="M25" s="13" t="inlineStr">
        <is>
          <t>Expected Outcome delivered and all Verification checks pass.</t>
        </is>
      </c>
      <c r="N25" s="13" t="inlineStr">
        <is>
          <t>RTL tests; manual E2E.</t>
        </is>
      </c>
      <c r="O25" s="13" t="inlineStr">
        <is>
          <t>PUT /api/profile, PUT /api/profile/password.</t>
        </is>
      </c>
      <c r="P25" s="15" t="inlineStr"/>
    </row>
    <row r="26">
      <c r="A26" s="12" t="inlineStr">
        <is>
          <t>M2-07</t>
        </is>
      </c>
      <c r="B26" s="13" t="inlineStr">
        <is>
          <t>M2 - Frontend foundation + auth</t>
        </is>
      </c>
      <c r="C26" s="13" t="inlineStr">
        <is>
          <t>Playwright E2E: auth journey</t>
        </is>
      </c>
      <c r="D26" s="12" t="inlineStr">
        <is>
          <t>FE/INF</t>
        </is>
      </c>
      <c r="E26" s="12" t="inlineStr">
        <is>
          <t>P1</t>
        </is>
      </c>
      <c r="F26" s="12" t="inlineStr">
        <is>
          <t>M</t>
        </is>
      </c>
      <c r="G26" s="12">
        <f>IFERROR(INDEX(Lookups!$B$2:$B$5,MATCH(F26,Lookups!$A$2:$A$5,0)),"")</f>
        <v/>
      </c>
      <c r="H26" s="13" t="inlineStr"/>
      <c r="I26" s="14" t="inlineStr">
        <is>
          <t>Not started</t>
        </is>
      </c>
      <c r="J26" s="14" t="inlineStr"/>
      <c r="K26" s="14" t="inlineStr"/>
      <c r="L26" s="13" t="inlineStr">
        <is>
          <t>Playwright project against compose (backend + DB + Redis) covering register → login → dashboard shell → profile update → logout → guard redirect.</t>
        </is>
      </c>
      <c r="M26" s="13" t="inlineStr">
        <is>
          <t>Expected Outcome delivered and all Verification checks pass.</t>
        </is>
      </c>
      <c r="N26" s="13" t="inlineStr">
        <is>
          <t>passes locally and in CI (nightly or on PR).</t>
        </is>
      </c>
      <c r="O26" s="13" t="inlineStr"/>
      <c r="P26" s="15" t="inlineStr"/>
    </row>
    <row r="27">
      <c r="A27" s="12" t="inlineStr">
        <is>
          <t>M3-01</t>
        </is>
      </c>
      <c r="B27" s="13" t="inlineStr">
        <is>
          <t>M3 - GitHub connect, repos &amp; PRs</t>
        </is>
      </c>
      <c r="C27" s="13" t="inlineStr">
        <is>
          <t>Correct the OAuth authorize and token handling</t>
        </is>
      </c>
      <c r="D27" s="12" t="inlineStr">
        <is>
          <t>BE</t>
        </is>
      </c>
      <c r="E27" s="12" t="inlineStr">
        <is>
          <t>P0</t>
        </is>
      </c>
      <c r="F27" s="12" t="inlineStr">
        <is>
          <t>M</t>
        </is>
      </c>
      <c r="G27" s="12">
        <f>IFERROR(INDEX(Lookups!$B$2:$B$5,MATCH(F27,Lookups!$A$2:$A$5,0)),"")</f>
        <v/>
      </c>
      <c r="H27" s="13" t="inlineStr">
        <is>
          <t>D-02, M1-09 (nullable refresh column).</t>
        </is>
      </c>
      <c r="I27" s="14" t="inlineStr">
        <is>
          <t>Not started</t>
        </is>
      </c>
      <c r="J27" s="14" t="inlineStr"/>
      <c r="K27" s="14" t="inlineStr"/>
      <c r="L27" s="13" t="inlineStr">
        <is>
          <t>authorize URL built with UriComponentsBuilder (encoded), includes scope (OAuth App: repo read:user; GitHub App: none). Token exchange handles the error field, missing expires_in (non-expiring), and a null refresh_token. GitHubTokenService only refreshes when expiry is known.</t>
        </is>
      </c>
      <c r="M27" s="13" t="inlineStr">
        <is>
          <t>Expected Outcome delivered and all Verification checks pass.</t>
        </is>
      </c>
      <c r="N27" s="13" t="inlineStr">
        <is>
          <t>unit tests with WireMock covering expiring and non-expiring token responses plus an error response.</t>
        </is>
      </c>
      <c r="O27" s="13" t="inlineStr"/>
      <c r="P27" s="15" t="inlineStr"/>
    </row>
    <row r="28">
      <c r="A28" s="12" t="inlineStr">
        <is>
          <t>M3-02</t>
        </is>
      </c>
      <c r="B28" s="13" t="inlineStr">
        <is>
          <t>M3 - GitHub connect, repos &amp; PRs</t>
        </is>
      </c>
      <c r="C28" s="13" t="inlineStr">
        <is>
          <t>Callback redirects to the SPA</t>
        </is>
      </c>
      <c r="D28" s="12" t="inlineStr">
        <is>
          <t>BE</t>
        </is>
      </c>
      <c r="E28" s="12" t="inlineStr">
        <is>
          <t>P0</t>
        </is>
      </c>
      <c r="F28" s="12" t="inlineStr">
        <is>
          <t>S</t>
        </is>
      </c>
      <c r="G28" s="12">
        <f>IFERROR(INDEX(Lookups!$B$2:$B$5,MATCH(F28,Lookups!$A$2:$A$5,0)),"")</f>
        <v/>
      </c>
      <c r="H28" s="13" t="inlineStr"/>
      <c r="I28" s="14" t="inlineStr">
        <is>
          <t>Not started</t>
        </is>
      </c>
      <c r="J28" s="14" t="inlineStr"/>
      <c r="K28" s="14" t="inlineStr"/>
      <c r="L28" s="13" t="inlineStr">
        <is>
          <t>the callback returns 302 to ${APP_FRONTEND_URL}/github/callback?status=success|error&amp;reason=…. No tokens in the URL.</t>
        </is>
      </c>
      <c r="M28" s="13" t="inlineStr">
        <is>
          <t>Expected Outcome delivered and all Verification checks pass.</t>
        </is>
      </c>
      <c r="N28" s="13" t="inlineStr">
        <is>
          <t>MockMvc asserts the Location header for success and for invalid state.</t>
        </is>
      </c>
      <c r="O28" s="13" t="inlineStr"/>
      <c r="P28" s="15" t="inlineStr"/>
    </row>
    <row r="29">
      <c r="A29" s="12" t="inlineStr">
        <is>
          <t>M3-03</t>
        </is>
      </c>
      <c r="B29" s="13" t="inlineStr">
        <is>
          <t>M3 - GitHub connect, repos &amp; PRs</t>
        </is>
      </c>
      <c r="C29" s="13" t="inlineStr">
        <is>
          <t>Connection status + disconnect with revocation</t>
        </is>
      </c>
      <c r="D29" s="12" t="inlineStr">
        <is>
          <t>BE</t>
        </is>
      </c>
      <c r="E29" s="12" t="inlineStr">
        <is>
          <t>P0</t>
        </is>
      </c>
      <c r="F29" s="12" t="inlineStr">
        <is>
          <t>S</t>
        </is>
      </c>
      <c r="G29" s="12">
        <f>IFERROR(INDEX(Lookups!$B$2:$B$5,MATCH(F29,Lookups!$A$2:$A$5,0)),"")</f>
        <v/>
      </c>
      <c r="H29" s="13" t="inlineStr"/>
      <c r="I29" s="14" t="inlineStr">
        <is>
          <t>Not started</t>
        </is>
      </c>
      <c r="J29" s="14" t="inlineStr"/>
      <c r="K29" s="14" t="inlineStr"/>
      <c r="L29" s="13" t="inlineStr">
        <is>
          <t>GET /api/github/account → {connected, username, avatarUrl, connectedAt, lastSyncAt, syncStatus}. DELETE /api/github/disconnect also calls GitHub's grant-revocation API (best effort) and evicts caches.</t>
        </is>
      </c>
      <c r="M29" s="13" t="inlineStr">
        <is>
          <t>Expected Outcome delivered and all Verification checks pass.</t>
        </is>
      </c>
      <c r="N29" s="13" t="inlineStr">
        <is>
          <t>integration tests (WireMock for GitHub).</t>
        </is>
      </c>
      <c r="O29" s="13" t="inlineStr"/>
      <c r="P29" s="15" t="inlineStr"/>
    </row>
    <row r="30">
      <c r="A30" s="12" t="inlineStr">
        <is>
          <t>M3-04</t>
        </is>
      </c>
      <c r="B30" s="13" t="inlineStr">
        <is>
          <t>M3 - GitHub connect, repos &amp; PRs</t>
        </is>
      </c>
      <c r="C30" s="13" t="inlineStr">
        <is>
          <t>Asynchronous sync + manual resync</t>
        </is>
      </c>
      <c r="D30" s="12" t="inlineStr">
        <is>
          <t>BE</t>
        </is>
      </c>
      <c r="E30" s="12" t="inlineStr">
        <is>
          <t>P0</t>
        </is>
      </c>
      <c r="F30" s="12" t="inlineStr">
        <is>
          <t>M</t>
        </is>
      </c>
      <c r="G30" s="12">
        <f>IFERROR(INDEX(Lookups!$B$2:$B$5,MATCH(F30,Lookups!$A$2:$A$5,0)),"")</f>
        <v/>
      </c>
      <c r="H30" s="13" t="inlineStr"/>
      <c r="I30" s="14" t="inlineStr">
        <is>
          <t>Not started</t>
        </is>
      </c>
      <c r="J30" s="14" t="inlineStr"/>
      <c r="K30" s="14" t="inlineStr"/>
      <c r="L30" s="13" t="inlineStr">
        <is>
          <t>the callback only stores the account and enqueues a sync (@Async on a virtual-thread executor, or the D-12 job mechanism). Each repo is synced in its own transaction. POST /api/github/sync (rate-limited, 1 per minute). Sync status is stored on the account. RestClient connect/read timeouts are set. GitHub 403/429 rate-limit headers are respected.</t>
        </is>
      </c>
      <c r="M30" s="13" t="inlineStr">
        <is>
          <t>Expected Outcome delivered and all Verification checks pass.</t>
        </is>
      </c>
      <c r="N30" s="13" t="inlineStr">
        <is>
          <t>an integration test where the callback returns promptly with a slow WireMock; sync completes asynchronously and status moves to COMPLETED.</t>
        </is>
      </c>
      <c r="O30" s="13" t="inlineStr"/>
      <c r="P30" s="15" t="inlineStr"/>
    </row>
    <row r="31">
      <c r="A31" s="12" t="inlineStr">
        <is>
          <t>M3-05</t>
        </is>
      </c>
      <c r="B31" s="13" t="inlineStr">
        <is>
          <t>M3 - GitHub connect, repos &amp; PRs</t>
        </is>
      </c>
      <c r="C31" s="13" t="inlineStr">
        <is>
          <t>Paged "my repositories" API</t>
        </is>
      </c>
      <c r="D31" s="12" t="inlineStr">
        <is>
          <t>BE</t>
        </is>
      </c>
      <c r="E31" s="12" t="inlineStr">
        <is>
          <t>P0</t>
        </is>
      </c>
      <c r="F31" s="12" t="inlineStr">
        <is>
          <t>S</t>
        </is>
      </c>
      <c r="G31" s="12">
        <f>IFERROR(INDEX(Lookups!$B$2:$B$5,MATCH(F31,Lookups!$A$2:$A$5,0)),"")</f>
        <v/>
      </c>
      <c r="H31" s="13" t="inlineStr">
        <is>
          <t>M1-01, M1-02.</t>
        </is>
      </c>
      <c r="I31" s="14" t="inlineStr">
        <is>
          <t>Not started</t>
        </is>
      </c>
      <c r="J31" s="14" t="inlineStr"/>
      <c r="K31" s="14" t="inlineStr"/>
      <c r="L31" s="13" t="inlineStr">
        <is>
          <t>GET /api/github/repositories?page&amp;size&amp;q&amp;reviewEnabled → Page&lt;RepositoryResponse&gt; for the current user, sorted by name.</t>
        </is>
      </c>
      <c r="M31" s="13" t="inlineStr">
        <is>
          <t>Expected Outcome delivered and all Verification checks pass.</t>
        </is>
      </c>
      <c r="N31" s="13" t="inlineStr">
        <is>
          <t>MockMvc with paging and filter cases.</t>
        </is>
      </c>
      <c r="O31" s="13" t="inlineStr"/>
      <c r="P31" s="15" t="inlineStr"/>
    </row>
    <row r="32">
      <c r="A32" s="12" t="inlineStr">
        <is>
          <t>M3-06</t>
        </is>
      </c>
      <c r="B32" s="13" t="inlineStr">
        <is>
          <t>M3 - GitHub connect, repos &amp; PRs</t>
        </is>
      </c>
      <c r="C32" s="13" t="inlineStr">
        <is>
          <t>Per-repository review toggle</t>
        </is>
      </c>
      <c r="D32" s="12" t="inlineStr">
        <is>
          <t>BE</t>
        </is>
      </c>
      <c r="E32" s="12" t="inlineStr">
        <is>
          <t>P1</t>
        </is>
      </c>
      <c r="F32" s="12" t="inlineStr">
        <is>
          <t>S</t>
        </is>
      </c>
      <c r="G32" s="12">
        <f>IFERROR(INDEX(Lookups!$B$2:$B$5,MATCH(F32,Lookups!$A$2:$A$5,0)),"")</f>
        <v/>
      </c>
      <c r="H32" s="13" t="inlineStr"/>
      <c r="I32" s="14" t="inlineStr">
        <is>
          <t>Not started</t>
        </is>
      </c>
      <c r="J32" s="14" t="inlineStr"/>
      <c r="K32" s="14" t="inlineStr"/>
      <c r="L32" s="13" t="inlineStr">
        <is>
          <t>migration adds review_enabled boolean default false (plus auto_review, post_comments per D-13). PATCH /api/github/repositories/{id}.</t>
        </is>
      </c>
      <c r="M32" s="13" t="inlineStr">
        <is>
          <t>Expected Outcome delivered and all Verification checks pass.</t>
        </is>
      </c>
      <c r="N32" s="13" t="inlineStr">
        <is>
          <t>MockMvc + ownership test.</t>
        </is>
      </c>
      <c r="O32" s="13" t="inlineStr"/>
      <c r="P32" s="15" t="inlineStr"/>
    </row>
    <row r="33">
      <c r="A33" s="12" t="inlineStr">
        <is>
          <t>M3-07</t>
        </is>
      </c>
      <c r="B33" s="13" t="inlineStr">
        <is>
          <t>M3 - GitHub connect, repos &amp; PRs</t>
        </is>
      </c>
      <c r="C33" s="13" t="inlineStr">
        <is>
          <t>Scoped, paged PR APIs</t>
        </is>
      </c>
      <c r="D33" s="12" t="inlineStr">
        <is>
          <t>BE</t>
        </is>
      </c>
      <c r="E33" s="12" t="inlineStr">
        <is>
          <t>P0</t>
        </is>
      </c>
      <c r="F33" s="12" t="inlineStr">
        <is>
          <t>M</t>
        </is>
      </c>
      <c r="G33" s="12">
        <f>IFERROR(INDEX(Lookups!$B$2:$B$5,MATCH(F33,Lookups!$A$2:$A$5,0)),"")</f>
        <v/>
      </c>
      <c r="H33" s="13" t="inlineStr"/>
      <c r="I33" s="14" t="inlineStr">
        <is>
          <t>Not started</t>
        </is>
      </c>
      <c r="J33" s="14" t="inlineStr"/>
      <c r="K33" s="14" t="inlineStr"/>
      <c r="L33" s="13" t="inlineStr">
        <is>
          <t>GET /api/github/repositories/{repoId}/pull-requests?state&amp;page&amp;size, GET /api/github/pull-requests/{id} (detail includes the latest review status once M4 lands). Old PR routes are removed or redirected.</t>
        </is>
      </c>
      <c r="M33" s="13" t="inlineStr">
        <is>
          <t>Expected Outcome delivered and all Verification checks pass.</t>
        </is>
      </c>
      <c r="N33" s="13" t="inlineStr">
        <is>
          <t>MockMvc + ownership tests.</t>
        </is>
      </c>
      <c r="O33" s="13" t="inlineStr"/>
      <c r="P33" s="15" t="inlineStr"/>
    </row>
    <row r="34">
      <c r="A34" s="12" t="inlineStr">
        <is>
          <t>M3-08</t>
        </is>
      </c>
      <c r="B34" s="13" t="inlineStr">
        <is>
          <t>M3 - GitHub connect, repos &amp; PRs</t>
        </is>
      </c>
      <c r="C34" s="13" t="inlineStr">
        <is>
          <t>Connect GitHub UX</t>
        </is>
      </c>
      <c r="D34" s="12" t="inlineStr">
        <is>
          <t>FE</t>
        </is>
      </c>
      <c r="E34" s="12" t="inlineStr">
        <is>
          <t>P0</t>
        </is>
      </c>
      <c r="F34" s="12" t="inlineStr">
        <is>
          <t>M</t>
        </is>
      </c>
      <c r="G34" s="12">
        <f>IFERROR(INDEX(Lookups!$B$2:$B$5,MATCH(F34,Lookups!$A$2:$A$5,0)),"")</f>
        <v/>
      </c>
      <c r="H34" s="13" t="inlineStr"/>
      <c r="I34" s="14" t="inlineStr">
        <is>
          <t>Not started</t>
        </is>
      </c>
      <c r="J34" s="14" t="inlineStr"/>
      <c r="K34" s="14" t="inlineStr"/>
      <c r="L34" s="13" t="inlineStr">
        <is>
          <t>onboarding card on the dashboard when not connected. "Connect GitHub" calls authorize and redirects the browser. The /github/callback page reads status and shows success/error, polling sync status. The settings section shows the connected account, Resync, and Disconnect (with confirm dialog).</t>
        </is>
      </c>
      <c r="M34" s="13" t="inlineStr">
        <is>
          <t>Expected Outcome delivered and all Verification checks pass.</t>
        </is>
      </c>
      <c r="N34" s="13" t="inlineStr">
        <is>
          <t>RTL + MSW; manual run with a real GitHub test account.</t>
        </is>
      </c>
      <c r="O34" s="13" t="inlineStr">
        <is>
          <t>M3-01..M3-04.</t>
        </is>
      </c>
      <c r="P34" s="15" t="inlineStr"/>
    </row>
    <row r="35">
      <c r="A35" s="12" t="inlineStr">
        <is>
          <t>M3-09</t>
        </is>
      </c>
      <c r="B35" s="13" t="inlineStr">
        <is>
          <t>M3 - GitHub connect, repos &amp; PRs</t>
        </is>
      </c>
      <c r="C35" s="13" t="inlineStr">
        <is>
          <t>Repositories list and detail</t>
        </is>
      </c>
      <c r="D35" s="12" t="inlineStr">
        <is>
          <t>FE</t>
        </is>
      </c>
      <c r="E35" s="12" t="inlineStr">
        <is>
          <t>P0</t>
        </is>
      </c>
      <c r="F35" s="12" t="inlineStr">
        <is>
          <t>M</t>
        </is>
      </c>
      <c r="G35" s="12">
        <f>IFERROR(INDEX(Lookups!$B$2:$B$5,MATCH(F35,Lookups!$A$2:$A$5,0)),"")</f>
        <v/>
      </c>
      <c r="H35" s="13" t="inlineStr"/>
      <c r="I35" s="14" t="inlineStr">
        <is>
          <t>Not started</t>
        </is>
      </c>
      <c r="J35" s="14" t="inlineStr"/>
      <c r="K35" s="14" t="inlineStr"/>
      <c r="L35" s="13" t="inlineStr">
        <is>
          <t>/repositories table/cards with search, filter (enabled, language), pagination, badges (private, fork, archived), and an enable-review toggle (optimistic update). /repositories/:id header with tabs: Pull Requests · Index (M6) · Settings.</t>
        </is>
      </c>
      <c r="M35" s="13" t="inlineStr">
        <is>
          <t>Expected Outcome delivered and all Verification checks pass.</t>
        </is>
      </c>
      <c r="N35" s="13" t="inlineStr">
        <is>
          <t>RTL; manual E2E.</t>
        </is>
      </c>
      <c r="O35" s="13" t="inlineStr"/>
      <c r="P35" s="15" t="inlineStr"/>
    </row>
    <row r="36">
      <c r="A36" s="12" t="inlineStr">
        <is>
          <t>M3-10</t>
        </is>
      </c>
      <c r="B36" s="13" t="inlineStr">
        <is>
          <t>M3 - GitHub connect, repos &amp; PRs</t>
        </is>
      </c>
      <c r="C36" s="13" t="inlineStr">
        <is>
          <t>Pull request list and detail</t>
        </is>
      </c>
      <c r="D36" s="12" t="inlineStr">
        <is>
          <t>FE</t>
        </is>
      </c>
      <c r="E36" s="12" t="inlineStr">
        <is>
          <t>P0</t>
        </is>
      </c>
      <c r="F36" s="12" t="inlineStr">
        <is>
          <t>M</t>
        </is>
      </c>
      <c r="G36" s="12">
        <f>IFERROR(INDEX(Lookups!$B$2:$B$5,MATCH(F36,Lookups!$A$2:$A$5,0)),"")</f>
        <v/>
      </c>
      <c r="H36" s="13" t="inlineStr"/>
      <c r="I36" s="14" t="inlineStr">
        <is>
          <t>Not started</t>
        </is>
      </c>
      <c r="J36" s="14" t="inlineStr"/>
      <c r="K36" s="14" t="inlineStr"/>
      <c r="L36" s="13" t="inlineStr">
        <is>
          <t>PR tab with state filter (Open/Closed/Merged) and pagination. /repositories/:id/pulls/:prId shows title, author, branches, links to GitHub, and the review panel placeholder (filled by M4-11).</t>
        </is>
      </c>
      <c r="M36" s="13" t="inlineStr">
        <is>
          <t>Expected Outcome delivered and all Verification checks pass.</t>
        </is>
      </c>
      <c r="N36" s="13" t="inlineStr">
        <is>
          <t>RTL; manual E2E.</t>
        </is>
      </c>
      <c r="O36" s="13" t="inlineStr"/>
      <c r="P36" s="15" t="inlineStr"/>
    </row>
    <row r="37">
      <c r="A37" s="12" t="inlineStr">
        <is>
          <t>M4-01</t>
        </is>
      </c>
      <c r="B37" s="13" t="inlineStr">
        <is>
          <t>M4 - AI review engine</t>
        </is>
      </c>
      <c r="C37" s="13" t="inlineStr">
        <is>
          <t>Review schema</t>
        </is>
      </c>
      <c r="D37" s="12" t="inlineStr">
        <is>
          <t>BE</t>
        </is>
      </c>
      <c r="E37" s="12" t="inlineStr">
        <is>
          <t>P0</t>
        </is>
      </c>
      <c r="F37" s="12" t="inlineStr">
        <is>
          <t>M</t>
        </is>
      </c>
      <c r="G37" s="12">
        <f>IFERROR(INDEX(Lookups!$B$2:$B$5,MATCH(F37,Lookups!$A$2:$A$5,0)),"")</f>
        <v/>
      </c>
      <c r="H37" s="13" t="inlineStr"/>
      <c r="I37" s="14" t="inlineStr">
        <is>
          <t>Not started</t>
        </is>
      </c>
      <c r="J37" s="14" t="inlineStr"/>
      <c r="K37" s="14" t="inlineStr"/>
      <c r="L37" s="13" t="inlineStr">
        <is>
          <t>migration: pull_requests + head_sha, base_sha, additions, deletions, changed_files. reviews (pr_id, head_sha, status, trigger, provider, model, summary, files_reviewed, tokens_in/out, error, started/completed_at, requested_by). review_findings (review_id, file_path, start_line, end_line, side, severity, category, cwe, title, description, recommendation, confidence, source LLM/RULE, status OPEN/DISMISSED, github_comment_id). Indexes on (pr_id, created_at) and (review_id). Entities + repositories.</t>
        </is>
      </c>
      <c r="M37" s="13" t="inlineStr">
        <is>
          <t>Expected Outcome delivered and all Verification checks pass.</t>
        </is>
      </c>
      <c r="N37" s="13" t="inlineStr">
        <is>
          <t>Flyway migrates on an empty DB and on a DB at V2; Hibernate validates.</t>
        </is>
      </c>
      <c r="O37" s="13" t="inlineStr"/>
      <c r="P37" s="15" t="inlineStr"/>
    </row>
    <row r="38">
      <c r="A38" s="12" t="inlineStr">
        <is>
          <t>M4-02</t>
        </is>
      </c>
      <c r="B38" s="13" t="inlineStr">
        <is>
          <t>M4 - AI review engine</t>
        </is>
      </c>
      <c r="C38" s="13" t="inlineStr">
        <is>
          <t>Fetch PR files and patches</t>
        </is>
      </c>
      <c r="D38" s="12" t="inlineStr">
        <is>
          <t>BE</t>
        </is>
      </c>
      <c r="E38" s="12" t="inlineStr">
        <is>
          <t>P0</t>
        </is>
      </c>
      <c r="F38" s="12" t="inlineStr">
        <is>
          <t>M</t>
        </is>
      </c>
      <c r="G38" s="12">
        <f>IFERROR(INDEX(Lookups!$B$2:$B$5,MATCH(F38,Lookups!$A$2:$A$5,0)),"")</f>
        <v/>
      </c>
      <c r="H38" s="13" t="inlineStr"/>
      <c r="I38" s="14" t="inlineStr">
        <is>
          <t>Not started</t>
        </is>
      </c>
      <c r="J38" s="14" t="inlineStr"/>
      <c r="K38" s="14" t="inlineStr"/>
      <c r="L38" s="13" t="inlineStr">
        <is>
          <t>GitHubApiClient.getPullRequestFiles(owner, repo, number) (paged, 3000-file cap) and getPullRequest (for SHAs). GET /api/github/pull-requests/{id}/files → [{filename,status,additions,deletions,patch}] (cached by head SHA).</t>
        </is>
      </c>
      <c r="M38" s="13" t="inlineStr">
        <is>
          <t>Expected Outcome delivered and all Verification checks pass.</t>
        </is>
      </c>
      <c r="N38" s="13" t="inlineStr">
        <is>
          <t>WireMock tests (including a binary file with no patch and a truncated patch).</t>
        </is>
      </c>
      <c r="O38" s="13" t="inlineStr"/>
      <c r="P38" s="15" t="inlineStr"/>
    </row>
    <row r="39">
      <c r="A39" s="12" t="inlineStr">
        <is>
          <t>M4-03</t>
        </is>
      </c>
      <c r="B39" s="13" t="inlineStr">
        <is>
          <t>M4 - AI review engine</t>
        </is>
      </c>
      <c r="C39" s="13" t="inlineStr">
        <is>
          <t>Diff parser and chunker</t>
        </is>
      </c>
      <c r="D39" s="12" t="inlineStr">
        <is>
          <t>BE</t>
        </is>
      </c>
      <c r="E39" s="12" t="inlineStr">
        <is>
          <t>P0</t>
        </is>
      </c>
      <c r="F39" s="12" t="inlineStr">
        <is>
          <t>L</t>
        </is>
      </c>
      <c r="G39" s="12">
        <f>IFERROR(INDEX(Lookups!$B$2:$B$5,MATCH(F39,Lookups!$A$2:$A$5,0)),"")</f>
        <v/>
      </c>
      <c r="H39" s="13" t="inlineStr"/>
      <c r="I39" s="14" t="inlineStr">
        <is>
          <t>Not started</t>
        </is>
      </c>
      <c r="J39" s="14" t="inlineStr"/>
      <c r="K39" s="14" t="inlineStr"/>
      <c r="L39" s="13" t="inlineStr">
        <is>
          <t>parse unified-diff hunks into added/context lines with new-file line numbers. Group into token-bounded chunks per file. Skip lockfiles, generated, vendored, and binary files.</t>
        </is>
      </c>
      <c r="M39" s="13" t="inlineStr">
        <is>
          <t>Expected Outcome delivered and all Verification checks pass.</t>
        </is>
      </c>
      <c r="N39" s="13" t="inlineStr">
        <is>
          <t>pure unit tests with fixture diffs (renames, deletions, multi-hunk, CRLF).</t>
        </is>
      </c>
      <c r="O39" s="13" t="inlineStr"/>
      <c r="P39" s="15" t="inlineStr"/>
    </row>
    <row r="40">
      <c r="A40" s="12" t="inlineStr">
        <is>
          <t>M4-04</t>
        </is>
      </c>
      <c r="B40" s="13" t="inlineStr">
        <is>
          <t>M4 - AI review engine</t>
        </is>
      </c>
      <c r="C40" s="13" t="inlineStr">
        <is>
          <t>Prompt v2 + structured-output validation</t>
        </is>
      </c>
      <c r="D40" s="12" t="inlineStr">
        <is>
          <t>BE</t>
        </is>
      </c>
      <c r="E40" s="12" t="inlineStr">
        <is>
          <t>P0</t>
        </is>
      </c>
      <c r="F40" s="12" t="inlineStr">
        <is>
          <t>M</t>
        </is>
      </c>
      <c r="G40" s="12">
        <f>IFERROR(INDEX(Lookups!$B$2:$B$5,MATCH(F40,Lookups!$A$2:$A$5,0)),"")</f>
        <v/>
      </c>
      <c r="H40" s="13" t="inlineStr"/>
      <c r="I40" s="14" t="inlineStr">
        <is>
          <t>Not started</t>
        </is>
      </c>
      <c r="J40" s="14" t="inlineStr"/>
      <c r="K40" s="14" t="inlineStr"/>
      <c r="L40" s="13" t="inlineStr">
        <is>
          <t>prompts/pr-review.st asks for findings with file, startLine, endLine, severity, category, cwe?, confidence, and treats the code as untrusted (prompt-injection guard). Output goes through Spring AI BeanOutputConverter. Findings are validated (line inside the diff, enum values) and invalid ones dropped and logged. Mock provider returns deterministic findings anchored to the real diff lines.</t>
        </is>
      </c>
      <c r="M40" s="13" t="inlineStr">
        <is>
          <t>Expected Outcome delivered and all Verification checks pass.</t>
        </is>
      </c>
      <c r="N40" s="13" t="inlineStr">
        <is>
          <t>unit tests over provider output fixtures (valid, malformed JSON, out-of-range lines).</t>
        </is>
      </c>
      <c r="O40" s="13" t="inlineStr"/>
      <c r="P40" s="15" t="inlineStr"/>
    </row>
    <row r="41">
      <c r="A41" s="12" t="inlineStr">
        <is>
          <t>M4-05</t>
        </is>
      </c>
      <c r="B41" s="13" t="inlineStr">
        <is>
          <t>M4 - AI review engine</t>
        </is>
      </c>
      <c r="C41" s="13" t="inlineStr">
        <is>
          <t>Async review job lifecycle</t>
        </is>
      </c>
      <c r="D41" s="12" t="inlineStr">
        <is>
          <t>BE</t>
        </is>
      </c>
      <c r="E41" s="12" t="inlineStr">
        <is>
          <t>P0</t>
        </is>
      </c>
      <c r="F41" s="12" t="inlineStr">
        <is>
          <t>L</t>
        </is>
      </c>
      <c r="G41" s="12">
        <f>IFERROR(INDEX(Lookups!$B$2:$B$5,MATCH(F41,Lookups!$A$2:$A$5,0)),"")</f>
        <v/>
      </c>
      <c r="H41" s="13" t="inlineStr">
        <is>
          <t>M4-01..M4-04, D-12.</t>
        </is>
      </c>
      <c r="I41" s="14" t="inlineStr">
        <is>
          <t>Not started</t>
        </is>
      </c>
      <c r="J41" s="14" t="inlineStr"/>
      <c r="K41" s="14" t="inlineStr"/>
      <c r="L41" s="13" t="inlineStr">
        <is>
          <t>ReviewService.requestReview(prId, trigger) → dedupe on (pr, head_sha) → QUEUED → worker → RUNNING → COMPLETED/FAILED. Per-chunk provider calls with a timeout. Partial failure is recorded. Startup recovery re-queues stale RUNNING jobs.</t>
        </is>
      </c>
      <c r="M41" s="13" t="inlineStr">
        <is>
          <t>Expected Outcome delivered and all Verification checks pass.</t>
        </is>
      </c>
      <c r="N41" s="13" t="inlineStr">
        <is>
          <t>integration test with the mock provider and WireMock GitHub runs the full lifecycle; a failure-path test.</t>
        </is>
      </c>
      <c r="O41" s="13" t="inlineStr"/>
      <c r="P41" s="15" t="inlineStr"/>
    </row>
    <row r="42">
      <c r="A42" s="12" t="inlineStr">
        <is>
          <t>M4-06</t>
        </is>
      </c>
      <c r="B42" s="13" t="inlineStr">
        <is>
          <t>M4 - AI review engine</t>
        </is>
      </c>
      <c r="C42" s="13" t="inlineStr">
        <is>
          <t>Review APIs</t>
        </is>
      </c>
      <c r="D42" s="12" t="inlineStr">
        <is>
          <t>BE</t>
        </is>
      </c>
      <c r="E42" s="12" t="inlineStr">
        <is>
          <t>P0</t>
        </is>
      </c>
      <c r="F42" s="12" t="inlineStr">
        <is>
          <t>M</t>
        </is>
      </c>
      <c r="G42" s="12">
        <f>IFERROR(INDEX(Lookups!$B$2:$B$5,MATCH(F42,Lookups!$A$2:$A$5,0)),"")</f>
        <v/>
      </c>
      <c r="H42" s="13" t="inlineStr"/>
      <c r="I42" s="14" t="inlineStr">
        <is>
          <t>Not started</t>
        </is>
      </c>
      <c r="J42" s="14" t="inlineStr"/>
      <c r="K42" s="14" t="inlineStr"/>
      <c r="L42" s="13" t="inlineStr">
        <is>
          <t>POST /api/github/pull-requests/{id}/reviews (202 + review), GET /api/github/pull-requests/{id}/reviews, GET /api/reviews/{id} (with findings, grouped counts), GET /api/reviews?repositoryId&amp;status&amp;page, PATCH /api/findings/{id} {status}. All ownership-scoped.</t>
        </is>
      </c>
      <c r="M42" s="13" t="inlineStr">
        <is>
          <t>Expected Outcome delivered and all Verification checks pass.</t>
        </is>
      </c>
      <c r="N42" s="13" t="inlineStr">
        <is>
          <t>MockMvc + ownership tests.</t>
        </is>
      </c>
      <c r="O42" s="13" t="inlineStr"/>
      <c r="P42" s="15" t="inlineStr"/>
    </row>
    <row r="43">
      <c r="A43" s="12" t="inlineStr">
        <is>
          <t>M4-07</t>
        </is>
      </c>
      <c r="B43" s="13" t="inlineStr">
        <is>
          <t>M4 - AI review engine</t>
        </is>
      </c>
      <c r="C43" s="13" t="inlineStr">
        <is>
          <t>Cost guardrails</t>
        </is>
      </c>
      <c r="D43" s="12" t="inlineStr">
        <is>
          <t>BE</t>
        </is>
      </c>
      <c r="E43" s="12" t="inlineStr">
        <is>
          <t>P0</t>
        </is>
      </c>
      <c r="F43" s="12" t="inlineStr">
        <is>
          <t>S</t>
        </is>
      </c>
      <c r="G43" s="12">
        <f>IFERROR(INDEX(Lookups!$B$2:$B$5,MATCH(F43,Lookups!$A$2:$A$5,0)),"")</f>
        <v/>
      </c>
      <c r="H43" s="13" t="inlineStr"/>
      <c r="I43" s="14" t="inlineStr">
        <is>
          <t>Not started</t>
        </is>
      </c>
      <c r="J43" s="14" t="inlineStr"/>
      <c r="K43" s="14" t="inlineStr"/>
      <c r="L43" s="13" t="inlineStr">
        <is>
          <t>config limits: max files, max diff lines, max tokens per review, daily reviews per user, and a provider kill switch. Over the limit → review SKIPPED with a reason. ai.provider=mock stays the default in all non-prod profiles.</t>
        </is>
      </c>
      <c r="M43" s="13" t="inlineStr">
        <is>
          <t>Expected Outcome delivered and all Verification checks pass.</t>
        </is>
      </c>
      <c r="N43" s="13" t="inlineStr">
        <is>
          <t>unit tests per limit.</t>
        </is>
      </c>
      <c r="O43" s="13" t="inlineStr"/>
      <c r="P43" s="15" t="inlineStr"/>
    </row>
    <row r="44">
      <c r="A44" s="12" t="inlineStr">
        <is>
          <t>M4-08</t>
        </is>
      </c>
      <c r="B44" s="13" t="inlineStr">
        <is>
          <t>M4 - AI review engine</t>
        </is>
      </c>
      <c r="C44" s="13" t="inlineStr">
        <is>
          <t>Harden the Playground endpoint</t>
        </is>
      </c>
      <c r="D44" s="12" t="inlineStr">
        <is>
          <t>BE</t>
        </is>
      </c>
      <c r="E44" s="12" t="inlineStr">
        <is>
          <t>P2</t>
        </is>
      </c>
      <c r="F44" s="12" t="inlineStr">
        <is>
          <t>S</t>
        </is>
      </c>
      <c r="G44" s="12">
        <f>IFERROR(INDEX(Lookups!$B$2:$B$5,MATCH(F44,Lookups!$A$2:$A$5,0)),"")</f>
        <v/>
      </c>
      <c r="H44" s="13" t="inlineStr"/>
      <c r="I44" s="14" t="inlineStr">
        <is>
          <t>Not started</t>
        </is>
      </c>
      <c r="J44" s="14" t="inlineStr"/>
      <c r="K44" s="14" t="inlineStr"/>
      <c r="L44" s="13" t="inlineStr">
        <is>
          <t>POST /api/ai/review takes {code, language?} with @Size(max=20000), is rate-limited, and is not persisted.</t>
        </is>
      </c>
      <c r="M44" s="13" t="inlineStr">
        <is>
          <t>Expected Outcome delivered and all Verification checks pass.</t>
        </is>
      </c>
      <c r="N44" s="13" t="inlineStr">
        <is>
          <t>MockMvc.</t>
        </is>
      </c>
      <c r="O44" s="13" t="inlineStr"/>
      <c r="P44" s="15" t="inlineStr"/>
    </row>
    <row r="45">
      <c r="A45" s="12" t="inlineStr">
        <is>
          <t>M4-09</t>
        </is>
      </c>
      <c r="B45" s="13" t="inlineStr">
        <is>
          <t>M4 - AI review engine</t>
        </is>
      </c>
      <c r="C45" s="13" t="inlineStr">
        <is>
          <t>Deterministic vulnerability rules</t>
        </is>
      </c>
      <c r="D45" s="12" t="inlineStr">
        <is>
          <t>BE</t>
        </is>
      </c>
      <c r="E45" s="12" t="inlineStr">
        <is>
          <t>P1</t>
        </is>
      </c>
      <c r="F45" s="12" t="inlineStr">
        <is>
          <t>M</t>
        </is>
      </c>
      <c r="G45" s="12">
        <f>IFERROR(INDEX(Lookups!$B$2:$B$5,MATCH(F45,Lookups!$A$2:$A$5,0)),"")</f>
        <v/>
      </c>
      <c r="H45" s="13" t="inlineStr"/>
      <c r="I45" s="14" t="inlineStr">
        <is>
          <t>Not started</t>
        </is>
      </c>
      <c r="J45" s="14" t="inlineStr"/>
      <c r="K45" s="14" t="inlineStr"/>
      <c r="L45" s="13" t="inlineStr">
        <is>
          <t>a RuleEngine run on added lines: hard-coded secrets (AWS keys, GitHub tokens, private keys, generic high-entropy), SQL concatenation into createQuery/execute, Runtime.exec with input, disabled TLS verification, weak hashes (MD5/SHA1 for passwords). Each rule maps to a CWE. Results merge with LLM findings (dedupe on file+line+cwe).</t>
        </is>
      </c>
      <c r="M45" s="13" t="inlineStr">
        <is>
          <t>Expected Outcome delivered and all Verification checks pass.</t>
        </is>
      </c>
      <c r="N45" s="13" t="inlineStr">
        <is>
          <t>unit tests per rule (positive and negative fixtures).</t>
        </is>
      </c>
      <c r="O45" s="13" t="inlineStr"/>
      <c r="P45" s="15" t="inlineStr"/>
    </row>
    <row r="46">
      <c r="A46" s="12" t="inlineStr">
        <is>
          <t>M4-10</t>
        </is>
      </c>
      <c r="B46" s="13" t="inlineStr">
        <is>
          <t>M4 - AI review engine</t>
        </is>
      </c>
      <c r="C46" s="13" t="inlineStr">
        <is>
          <t>Dashboard summary API</t>
        </is>
      </c>
      <c r="D46" s="12" t="inlineStr">
        <is>
          <t>BE</t>
        </is>
      </c>
      <c r="E46" s="12" t="inlineStr">
        <is>
          <t>P1</t>
        </is>
      </c>
      <c r="F46" s="12" t="inlineStr">
        <is>
          <t>S</t>
        </is>
      </c>
      <c r="G46" s="12">
        <f>IFERROR(INDEX(Lookups!$B$2:$B$5,MATCH(F46,Lookups!$A$2:$A$5,0)),"")</f>
        <v/>
      </c>
      <c r="H46" s="13" t="inlineStr"/>
      <c r="I46" s="14" t="inlineStr">
        <is>
          <t>Not started</t>
        </is>
      </c>
      <c r="J46" s="14" t="inlineStr"/>
      <c r="K46" s="14" t="inlineStr"/>
      <c r="L46" s="13" t="inlineStr">
        <is>
          <t>GET /api/dashboard/summary → counts (repos enabled, PRs open, reviews last 30 days, findings by severity), recent reviews (5), top risky repos.</t>
        </is>
      </c>
      <c r="M46" s="13" t="inlineStr">
        <is>
          <t>Expected Outcome delivered and all Verification checks pass.</t>
        </is>
      </c>
      <c r="N46" s="13" t="inlineStr">
        <is>
          <t>integration test with seeded data.</t>
        </is>
      </c>
      <c r="O46" s="13" t="inlineStr"/>
      <c r="P46" s="15" t="inlineStr"/>
    </row>
    <row r="47">
      <c r="A47" s="12" t="inlineStr">
        <is>
          <t>M4-11</t>
        </is>
      </c>
      <c r="B47" s="13" t="inlineStr">
        <is>
          <t>M4 - AI review engine</t>
        </is>
      </c>
      <c r="C47" s="13" t="inlineStr">
        <is>
          <t>Run review from the PR page</t>
        </is>
      </c>
      <c r="D47" s="12" t="inlineStr">
        <is>
          <t>FE</t>
        </is>
      </c>
      <c r="E47" s="12" t="inlineStr">
        <is>
          <t>P0</t>
        </is>
      </c>
      <c r="F47" s="12" t="inlineStr">
        <is>
          <t>M</t>
        </is>
      </c>
      <c r="G47" s="12">
        <f>IFERROR(INDEX(Lookups!$B$2:$B$5,MATCH(F47,Lookups!$A$2:$A$5,0)),"")</f>
        <v/>
      </c>
      <c r="H47" s="13" t="inlineStr"/>
      <c r="I47" s="14" t="inlineStr">
        <is>
          <t>Not started</t>
        </is>
      </c>
      <c r="J47" s="14" t="inlineStr"/>
      <c r="K47" s="14" t="inlineStr"/>
      <c r="L47" s="13" t="inlineStr">
        <is>
          <t>"Run AI review" button (disabled while running), status timeline with polling (TanStack Query refetchInterval until terminal), list of past reviews for the PR, error state with retry.</t>
        </is>
      </c>
      <c r="M47" s="13" t="inlineStr">
        <is>
          <t>Expected Outcome delivered and all Verification checks pass.</t>
        </is>
      </c>
      <c r="N47" s="13" t="inlineStr">
        <is>
          <t>RTL + MSW lifecycle test.</t>
        </is>
      </c>
      <c r="O47" s="13" t="inlineStr"/>
      <c r="P47" s="15" t="inlineStr"/>
    </row>
    <row r="48">
      <c r="A48" s="12" t="inlineStr">
        <is>
          <t>M4-12</t>
        </is>
      </c>
      <c r="B48" s="13" t="inlineStr">
        <is>
          <t>M4 - AI review engine</t>
        </is>
      </c>
      <c r="C48" s="13" t="inlineStr">
        <is>
          <t>Review report page</t>
        </is>
      </c>
      <c r="D48" s="12" t="inlineStr">
        <is>
          <t>FE</t>
        </is>
      </c>
      <c r="E48" s="12" t="inlineStr">
        <is>
          <t>P0</t>
        </is>
      </c>
      <c r="F48" s="12" t="inlineStr">
        <is>
          <t>L</t>
        </is>
      </c>
      <c r="G48" s="12">
        <f>IFERROR(INDEX(Lookups!$B$2:$B$5,MATCH(F48,Lookups!$A$2:$A$5,0)),"")</f>
        <v/>
      </c>
      <c r="H48" s="13" t="inlineStr"/>
      <c r="I48" s="14" t="inlineStr">
        <is>
          <t>Not started</t>
        </is>
      </c>
      <c r="J48" s="14" t="inlineStr"/>
      <c r="K48" s="14" t="inlineStr"/>
      <c r="L48" s="13" t="inlineStr">
        <is>
          <t>/reviews/:id with summary header (counts by severity), filters (severity, category, file, status), findings grouped by file, a diff viewer (react-diff-view or similar) with inline finding markers, a finding detail drawer (description, recommendation, CWE link), and dismiss/reopen.</t>
        </is>
      </c>
      <c r="M48" s="13" t="inlineStr">
        <is>
          <t>Expected Outcome delivered and all Verification checks pass.</t>
        </is>
      </c>
      <c r="N48" s="13" t="inlineStr">
        <is>
          <t>RTL; a manual check with a mock review.</t>
        </is>
      </c>
      <c r="O48" s="13" t="inlineStr"/>
      <c r="P48" s="15" t="inlineStr"/>
    </row>
    <row r="49">
      <c r="A49" s="12" t="inlineStr">
        <is>
          <t>M4-13</t>
        </is>
      </c>
      <c r="B49" s="13" t="inlineStr">
        <is>
          <t>M4 - AI review engine</t>
        </is>
      </c>
      <c r="C49" s="13" t="inlineStr">
        <is>
          <t>Review history + dashboard</t>
        </is>
      </c>
      <c r="D49" s="12" t="inlineStr">
        <is>
          <t>FE</t>
        </is>
      </c>
      <c r="E49" s="12" t="inlineStr">
        <is>
          <t>P1</t>
        </is>
      </c>
      <c r="F49" s="12" t="inlineStr">
        <is>
          <t>M</t>
        </is>
      </c>
      <c r="G49" s="12">
        <f>IFERROR(INDEX(Lookups!$B$2:$B$5,MATCH(F49,Lookups!$A$2:$A$5,0)),"")</f>
        <v/>
      </c>
      <c r="H49" s="13" t="inlineStr"/>
      <c r="I49" s="14" t="inlineStr">
        <is>
          <t>Not started</t>
        </is>
      </c>
      <c r="J49" s="14" t="inlineStr"/>
      <c r="K49" s="14" t="inlineStr"/>
      <c r="L49" s="13" t="inlineStr">
        <is>
          <t>/reviews paged table with filters. /dashboard stat cards, severity breakdown chart, recent reviews, and the onboarding checklist (connect GitHub → enable repo → run first review).</t>
        </is>
      </c>
      <c r="M49" s="13" t="inlineStr">
        <is>
          <t>Expected Outcome delivered and all Verification checks pass.</t>
        </is>
      </c>
      <c r="N49" s="13" t="inlineStr">
        <is>
          <t>RTL; manual.</t>
        </is>
      </c>
      <c r="O49" s="13" t="inlineStr"/>
      <c r="P49" s="15" t="inlineStr"/>
    </row>
    <row r="50">
      <c r="A50" s="12" t="inlineStr">
        <is>
          <t>M4-14</t>
        </is>
      </c>
      <c r="B50" s="13" t="inlineStr">
        <is>
          <t>M4 - AI review engine</t>
        </is>
      </c>
      <c r="C50" s="13" t="inlineStr">
        <is>
          <t>Playground page</t>
        </is>
      </c>
      <c r="D50" s="12" t="inlineStr">
        <is>
          <t>FE</t>
        </is>
      </c>
      <c r="E50" s="12" t="inlineStr">
        <is>
          <t>P2</t>
        </is>
      </c>
      <c r="F50" s="12" t="inlineStr">
        <is>
          <t>S</t>
        </is>
      </c>
      <c r="G50" s="12">
        <f>IFERROR(INDEX(Lookups!$B$2:$B$5,MATCH(F50,Lookups!$A$2:$A$5,0)),"")</f>
        <v/>
      </c>
      <c r="H50" s="13" t="inlineStr"/>
      <c r="I50" s="14" t="inlineStr">
        <is>
          <t>Not started</t>
        </is>
      </c>
      <c r="J50" s="14" t="inlineStr"/>
      <c r="K50" s="14" t="inlineStr"/>
      <c r="L50" s="13" t="inlineStr">
        <is>
          <t>/playground code editor (Monaco or CodeMirror), language select, findings list.</t>
        </is>
      </c>
      <c r="M50" s="13" t="inlineStr">
        <is>
          <t>Expected Outcome delivered and all Verification checks pass.</t>
        </is>
      </c>
      <c r="N50" s="13" t="inlineStr">
        <is>
          <t>RTL.</t>
        </is>
      </c>
      <c r="O50" s="13" t="inlineStr"/>
      <c r="P50" s="15" t="inlineStr"/>
    </row>
    <row r="51">
      <c r="A51" s="12" t="inlineStr">
        <is>
          <t>M4-15</t>
        </is>
      </c>
      <c r="B51" s="13" t="inlineStr">
        <is>
          <t>M4 - AI review engine</t>
        </is>
      </c>
      <c r="C51" s="13" t="inlineStr">
        <is>
          <t>Real provider smoke test (manual, opt-in)</t>
        </is>
      </c>
      <c r="D51" s="12" t="inlineStr">
        <is>
          <t>BE</t>
        </is>
      </c>
      <c r="E51" s="12" t="inlineStr">
        <is>
          <t>P1</t>
        </is>
      </c>
      <c r="F51" s="12" t="inlineStr">
        <is>
          <t>S</t>
        </is>
      </c>
      <c r="G51" s="12">
        <f>IFERROR(INDEX(Lookups!$B$2:$B$5,MATCH(F51,Lookups!$A$2:$A$5,0)),"")</f>
        <v/>
      </c>
      <c r="H51" s="13" t="inlineStr">
        <is>
          <t>D-03 and your approval (paid call).</t>
        </is>
      </c>
      <c r="I51" s="14" t="inlineStr">
        <is>
          <t>Not started</t>
        </is>
      </c>
      <c r="J51" s="14" t="inlineStr"/>
      <c r="K51" s="14" t="inlineStr"/>
      <c r="L51" s="13" t="inlineStr">
        <is>
          <t>documented procedure to run one review with a real provider key from .env, under a budget cap set in the provider console. The result is recorded in the PR.</t>
        </is>
      </c>
      <c r="M51" s="13" t="inlineStr">
        <is>
          <t>Expected Outcome delivered and all Verification checks pass.</t>
        </is>
      </c>
      <c r="N51" s="13" t="inlineStr">
        <is>
          <t>manual. Not part of CI.</t>
        </is>
      </c>
      <c r="O51" s="13" t="inlineStr"/>
      <c r="P51" s="15" t="inlineStr"/>
    </row>
    <row r="52">
      <c r="A52" s="12" t="inlineStr">
        <is>
          <t>M5-01</t>
        </is>
      </c>
      <c r="B52" s="13" t="inlineStr">
        <is>
          <t>M5 - Webhooks &amp; inline comments</t>
        </is>
      </c>
      <c r="C52" s="13" t="inlineStr">
        <is>
          <t>GitHub webhook endpoint</t>
        </is>
      </c>
      <c r="D52" s="12" t="inlineStr">
        <is>
          <t>BE</t>
        </is>
      </c>
      <c r="E52" s="12" t="inlineStr">
        <is>
          <t>P0</t>
        </is>
      </c>
      <c r="F52" s="12" t="inlineStr">
        <is>
          <t>M</t>
        </is>
      </c>
      <c r="G52" s="12">
        <f>IFERROR(INDEX(Lookups!$B$2:$B$5,MATCH(F52,Lookups!$A$2:$A$5,0)),"")</f>
        <v/>
      </c>
      <c r="H52" s="13" t="inlineStr"/>
      <c r="I52" s="14" t="inlineStr">
        <is>
          <t>Not started</t>
        </is>
      </c>
      <c r="J52" s="14" t="inlineStr"/>
      <c r="K52" s="14" t="inlineStr"/>
      <c r="L52" s="13" t="inlineStr">
        <is>
          <t>POST /api/webhooks/github (public), raw-body HMAC SHA-256 verification against GITHUB_WEBHOOK_SECRET with constant-time compare, 401 on mismatch. Routes ping, pull_request, push, installation* (if GitHub App). Responds within 1 s (processing async).</t>
        </is>
      </c>
      <c r="M52" s="13" t="inlineStr">
        <is>
          <t>Expected Outcome delivered and all Verification checks pass.</t>
        </is>
      </c>
      <c r="N52" s="13" t="inlineStr">
        <is>
          <t>MockMvc with signed fixture payloads (valid, invalid, missing signature).</t>
        </is>
      </c>
      <c r="O52" s="13" t="inlineStr"/>
      <c r="P52" s="15" t="inlineStr"/>
    </row>
    <row r="53">
      <c r="A53" s="12" t="inlineStr">
        <is>
          <t>M5-02</t>
        </is>
      </c>
      <c r="B53" s="13" t="inlineStr">
        <is>
          <t>M5 - Webhooks &amp; inline comments</t>
        </is>
      </c>
      <c r="C53" s="13" t="inlineStr">
        <is>
          <t>Delivery idempotency and audit</t>
        </is>
      </c>
      <c r="D53" s="12" t="inlineStr">
        <is>
          <t>BE</t>
        </is>
      </c>
      <c r="E53" s="12" t="inlineStr">
        <is>
          <t>P0</t>
        </is>
      </c>
      <c r="F53" s="12" t="inlineStr">
        <is>
          <t>S</t>
        </is>
      </c>
      <c r="G53" s="12">
        <f>IFERROR(INDEX(Lookups!$B$2:$B$5,MATCH(F53,Lookups!$A$2:$A$5,0)),"")</f>
        <v/>
      </c>
      <c r="H53" s="13" t="inlineStr"/>
      <c r="I53" s="14" t="inlineStr">
        <is>
          <t>Not started</t>
        </is>
      </c>
      <c r="J53" s="14" t="inlineStr"/>
      <c r="K53" s="14" t="inlineStr"/>
      <c r="L53" s="13" t="inlineStr">
        <is>
          <t>webhook_deliveries table (delivery_id unique, event, action, repo_github_id, status, error, received/processed_at). Duplicate deliveries are no-ops.</t>
        </is>
      </c>
      <c r="M53" s="13" t="inlineStr">
        <is>
          <t>Expected Outcome delivered and all Verification checks pass.</t>
        </is>
      </c>
      <c r="N53" s="13" t="inlineStr">
        <is>
          <t>an integration test sends the same delivery twice and gets one review.</t>
        </is>
      </c>
      <c r="O53" s="13" t="inlineStr"/>
      <c r="P53" s="15" t="inlineStr"/>
    </row>
    <row r="54">
      <c r="A54" s="12" t="inlineStr">
        <is>
          <t>M5-03</t>
        </is>
      </c>
      <c r="B54" s="13" t="inlineStr">
        <is>
          <t>M5 - Webhooks &amp; inline comments</t>
        </is>
      </c>
      <c r="C54" s="13" t="inlineStr">
        <is>
          <t>Auto-review on PR events</t>
        </is>
      </c>
      <c r="D54" s="12" t="inlineStr">
        <is>
          <t>BE</t>
        </is>
      </c>
      <c r="E54" s="12" t="inlineStr">
        <is>
          <t>P0</t>
        </is>
      </c>
      <c r="F54" s="12" t="inlineStr">
        <is>
          <t>M</t>
        </is>
      </c>
      <c r="G54" s="12">
        <f>IFERROR(INDEX(Lookups!$B$2:$B$5,MATCH(F54,Lookups!$A$2:$A$5,0)),"")</f>
        <v/>
      </c>
      <c r="H54" s="13" t="inlineStr">
        <is>
          <t>M4-05, M5-01, M5-02.</t>
        </is>
      </c>
      <c r="I54" s="14" t="inlineStr">
        <is>
          <t>Not started</t>
        </is>
      </c>
      <c r="J54" s="14" t="inlineStr"/>
      <c r="K54" s="14" t="inlineStr"/>
      <c r="L54" s="13" t="inlineStr">
        <is>
          <t>opened/synchronize/reopened/ready_for_review on a review_enabled + auto_review repo → upsert PR (with SHAs) → requestReview(trigger=WEBHOOK). Drafts are skipped per setting. closed updates state and merged.</t>
        </is>
      </c>
      <c r="M54" s="13" t="inlineStr">
        <is>
          <t>Expected Outcome delivered and all Verification checks pass.</t>
        </is>
      </c>
      <c r="N54" s="13" t="inlineStr">
        <is>
          <t>integration test from a webhook fixture through to a completed review (mock provider).</t>
        </is>
      </c>
      <c r="O54" s="13" t="inlineStr"/>
      <c r="P54" s="15" t="inlineStr"/>
    </row>
    <row r="55">
      <c r="A55" s="12" t="inlineStr">
        <is>
          <t>M5-04</t>
        </is>
      </c>
      <c r="B55" s="13" t="inlineStr">
        <is>
          <t>M5 - Webhooks &amp; inline comments</t>
        </is>
      </c>
      <c r="C55" s="13" t="inlineStr">
        <is>
          <t>Publish inline review comments</t>
        </is>
      </c>
      <c r="D55" s="12" t="inlineStr">
        <is>
          <t>BE</t>
        </is>
      </c>
      <c r="E55" s="12" t="inlineStr">
        <is>
          <t>P0</t>
        </is>
      </c>
      <c r="F55" s="12" t="inlineStr">
        <is>
          <t>M</t>
        </is>
      </c>
      <c r="G55" s="12">
        <f>IFERROR(INDEX(Lookups!$B$2:$B$5,MATCH(F55,Lookups!$A$2:$A$5,0)),"")</f>
        <v/>
      </c>
      <c r="H55" s="13" t="inlineStr">
        <is>
          <t>D-02 (identity used to post), M4-06.</t>
        </is>
      </c>
      <c r="I55" s="14" t="inlineStr">
        <is>
          <t>Not started</t>
        </is>
      </c>
      <c r="J55" s="14" t="inlineStr"/>
      <c r="K55" s="14" t="inlineStr"/>
      <c r="L55" s="13" t="inlineStr">
        <is>
          <t>POST /api/reviews/{id}/publish (and auto-publish if post_comments) creates one GitHub PR review (event=COMMENT) with inline comments for findings at or above the threshold, anchored to head_sha + line + side, with a summary body. Stores github_comment_id. Re-publishing doesn't duplicate.</t>
        </is>
      </c>
      <c r="M55" s="13" t="inlineStr">
        <is>
          <t>Expected Outcome delivered and all Verification checks pass.</t>
        </is>
      </c>
      <c r="N55" s="13" t="inlineStr">
        <is>
          <t>WireMock contract test; manual run on a test repo.</t>
        </is>
      </c>
      <c r="O55" s="13" t="inlineStr"/>
      <c r="P55" s="15" t="inlineStr"/>
    </row>
    <row r="56">
      <c r="A56" s="12" t="inlineStr">
        <is>
          <t>M5-05</t>
        </is>
      </c>
      <c r="B56" s="13" t="inlineStr">
        <is>
          <t>M5 - Webhooks &amp; inline comments</t>
        </is>
      </c>
      <c r="C56" s="13" t="inlineStr">
        <is>
          <t>Review settings</t>
        </is>
      </c>
      <c r="D56" s="12" t="inlineStr">
        <is>
          <t>FS</t>
        </is>
      </c>
      <c r="E56" s="12" t="inlineStr">
        <is>
          <t>P1</t>
        </is>
      </c>
      <c r="F56" s="12" t="inlineStr">
        <is>
          <t>M</t>
        </is>
      </c>
      <c r="G56" s="12">
        <f>IFERROR(INDEX(Lookups!$B$2:$B$5,MATCH(F56,Lookups!$A$2:$A$5,0)),"")</f>
        <v/>
      </c>
      <c r="H56" s="13" t="inlineStr"/>
      <c r="I56" s="14" t="inlineStr">
        <is>
          <t>Not started</t>
        </is>
      </c>
      <c r="J56" s="14" t="inlineStr"/>
      <c r="K56" s="14" t="inlineStr"/>
      <c r="L56" s="13" t="inlineStr">
        <is>
          <t>BE: GET/PUT /api/settings (defaults: severity threshold, auto-review, post comments, skip drafts) and per-repo overrides via M3-06. FE: /settings/reviews form and the repository Settings tab.</t>
        </is>
      </c>
      <c r="M56" s="13" t="inlineStr">
        <is>
          <t>Expected Outcome delivered and all Verification checks pass.</t>
        </is>
      </c>
      <c r="N56" s="13" t="inlineStr">
        <is>
          <t>MockMvc; RTL.</t>
        </is>
      </c>
      <c r="O56" s="13" t="inlineStr"/>
      <c r="P56" s="15" t="inlineStr"/>
    </row>
    <row r="57">
      <c r="A57" s="12" t="inlineStr">
        <is>
          <t>M5-06</t>
        </is>
      </c>
      <c r="B57" s="13" t="inlineStr">
        <is>
          <t>M5 - Webhooks &amp; inline comments</t>
        </is>
      </c>
      <c r="C57" s="13" t="inlineStr">
        <is>
          <t>Publish to GitHub UX</t>
        </is>
      </c>
      <c r="D57" s="12" t="inlineStr">
        <is>
          <t>FE</t>
        </is>
      </c>
      <c r="E57" s="12" t="inlineStr">
        <is>
          <t>P1</t>
        </is>
      </c>
      <c r="F57" s="12" t="inlineStr">
        <is>
          <t>S</t>
        </is>
      </c>
      <c r="G57" s="12">
        <f>IFERROR(INDEX(Lookups!$B$2:$B$5,MATCH(F57,Lookups!$A$2:$A$5,0)),"")</f>
        <v/>
      </c>
      <c r="H57" s="13" t="inlineStr"/>
      <c r="I57" s="14" t="inlineStr">
        <is>
          <t>Not started</t>
        </is>
      </c>
      <c r="J57" s="14" t="inlineStr"/>
      <c r="K57" s="14" t="inlineStr"/>
      <c r="L57" s="13" t="inlineStr">
        <is>
          <t>"Publish to GitHub" button on the review page, a published state, and links to the GitHub comments.</t>
        </is>
      </c>
      <c r="M57" s="13" t="inlineStr">
        <is>
          <t>Expected Outcome delivered and all Verification checks pass.</t>
        </is>
      </c>
      <c r="N57" s="13" t="inlineStr">
        <is>
          <t>RTL.</t>
        </is>
      </c>
      <c r="O57" s="13" t="inlineStr"/>
      <c r="P57" s="15" t="inlineStr"/>
    </row>
    <row r="58">
      <c r="A58" s="12" t="inlineStr">
        <is>
          <t>M5-07</t>
        </is>
      </c>
      <c r="B58" s="13" t="inlineStr">
        <is>
          <t>M5 - Webhooks &amp; inline comments</t>
        </is>
      </c>
      <c r="C58" s="13" t="inlineStr">
        <is>
          <t>Local webhook development guide</t>
        </is>
      </c>
      <c r="D58" s="12" t="inlineStr">
        <is>
          <t>INF</t>
        </is>
      </c>
      <c r="E58" s="12" t="inlineStr">
        <is>
          <t>P2</t>
        </is>
      </c>
      <c r="F58" s="12" t="inlineStr">
        <is>
          <t>S</t>
        </is>
      </c>
      <c r="G58" s="12">
        <f>IFERROR(INDEX(Lookups!$B$2:$B$5,MATCH(F58,Lookups!$A$2:$A$5,0)),"")</f>
        <v/>
      </c>
      <c r="H58" s="13" t="inlineStr"/>
      <c r="I58" s="14" t="inlineStr">
        <is>
          <t>Not started</t>
        </is>
      </c>
      <c r="J58" s="14" t="inlineStr"/>
      <c r="K58" s="14" t="inlineStr"/>
      <c r="L58" s="13" t="inlineStr">
        <is>
          <t>docs and a script for smee.io or ngrok forwarding to localhost:8080/api/webhooks/github, and test-repo setup.</t>
        </is>
      </c>
      <c r="M58" s="13" t="inlineStr">
        <is>
          <t>Expected Outcome delivered and all Verification checks pass.</t>
        </is>
      </c>
      <c r="N58" s="13" t="inlineStr">
        <is>
          <t>follow the guide once end to end.</t>
        </is>
      </c>
      <c r="O58" s="13" t="inlineStr"/>
      <c r="P58" s="15" t="inlineStr"/>
    </row>
    <row r="59">
      <c r="A59" s="12" t="inlineStr">
        <is>
          <t>M6-01</t>
        </is>
      </c>
      <c r="B59" s="13" t="inlineStr">
        <is>
          <t>M6 - Indexing, search &amp; RAG</t>
        </is>
      </c>
      <c r="C59" s="13" t="inlineStr">
        <is>
          <t>Flyway-managed vector table and index jobs</t>
        </is>
      </c>
      <c r="D59" s="12" t="inlineStr">
        <is>
          <t>BE</t>
        </is>
      </c>
      <c r="E59" s="12" t="inlineStr">
        <is>
          <t>P0</t>
        </is>
      </c>
      <c r="F59" s="12" t="inlineStr">
        <is>
          <t>S</t>
        </is>
      </c>
      <c r="G59" s="12">
        <f>IFERROR(INDEX(Lookups!$B$2:$B$5,MATCH(F59,Lookups!$A$2:$A$5,0)),"")</f>
        <v/>
      </c>
      <c r="H59" s="13" t="inlineStr"/>
      <c r="I59" s="14" t="inlineStr">
        <is>
          <t>Not started</t>
        </is>
      </c>
      <c r="J59" s="14" t="inlineStr"/>
      <c r="K59" s="14" t="inlineStr"/>
      <c r="L59" s="13" t="inlineStr">
        <is>
          <t>migration creates vector_store (id uuid, content, metadata jsonb, embedding vector(384), HNSW cosine index, GIN on metadata) matching the Spring AI schema. repository_index_jobs table. Set initialize-schema=false.</t>
        </is>
      </c>
      <c r="M59" s="13" t="inlineStr">
        <is>
          <t>Expected Outcome delivered and all Verification checks pass.</t>
        </is>
      </c>
      <c r="N59" s="13" t="inlineStr">
        <is>
          <t>migration test; a Spring AI VectorStore add/search round trip.</t>
        </is>
      </c>
      <c r="O59" s="13" t="inlineStr"/>
      <c r="P59" s="15" t="inlineStr"/>
    </row>
    <row r="60">
      <c r="A60" s="12" t="inlineStr">
        <is>
          <t>M6-02</t>
        </is>
      </c>
      <c r="B60" s="13" t="inlineStr">
        <is>
          <t>M6 - Indexing, search &amp; RAG</t>
        </is>
      </c>
      <c r="C60" s="13" t="inlineStr">
        <is>
          <t>Repository snapshot fetch and file filter</t>
        </is>
      </c>
      <c r="D60" s="12" t="inlineStr">
        <is>
          <t>BE</t>
        </is>
      </c>
      <c r="E60" s="12" t="inlineStr">
        <is>
          <t>P0</t>
        </is>
      </c>
      <c r="F60" s="12" t="inlineStr">
        <is>
          <t>M</t>
        </is>
      </c>
      <c r="G60" s="12">
        <f>IFERROR(INDEX(Lookups!$B$2:$B$5,MATCH(F60,Lookups!$A$2:$A$5,0)),"")</f>
        <v/>
      </c>
      <c r="H60" s="13" t="inlineStr"/>
      <c r="I60" s="14" t="inlineStr">
        <is>
          <t>Not started</t>
        </is>
      </c>
      <c r="J60" s="14" t="inlineStr"/>
      <c r="K60" s="14" t="inlineStr"/>
      <c r="L60" s="13" t="inlineStr">
        <is>
          <t>download the default-branch tarball (/repos/{o}/{r}/tarball/{ref}) streamed to a temp dir. Include source extensions. Exclude vendored/generated/binary/large (&gt; 200 KB) files and respect .gitignore-like patterns. Clean up the temp files.</t>
        </is>
      </c>
      <c r="M60" s="13" t="inlineStr">
        <is>
          <t>Expected Outcome delivered and all Verification checks pass.</t>
        </is>
      </c>
      <c r="N60" s="13" t="inlineStr">
        <is>
          <t>unit tests with a fixture tarball; WireMock for the download.</t>
        </is>
      </c>
      <c r="O60" s="13" t="inlineStr"/>
      <c r="P60" s="15" t="inlineStr"/>
    </row>
    <row r="61">
      <c r="A61" s="12" t="inlineStr">
        <is>
          <t>M6-03</t>
        </is>
      </c>
      <c r="B61" s="13" t="inlineStr">
        <is>
          <t>M6 - Indexing, search &amp; RAG</t>
        </is>
      </c>
      <c r="C61" s="13" t="inlineStr">
        <is>
          <t>Code chunker</t>
        </is>
      </c>
      <c r="D61" s="12" t="inlineStr">
        <is>
          <t>BE</t>
        </is>
      </c>
      <c r="E61" s="12" t="inlineStr">
        <is>
          <t>P0</t>
        </is>
      </c>
      <c r="F61" s="12" t="inlineStr">
        <is>
          <t>M</t>
        </is>
      </c>
      <c r="G61" s="12">
        <f>IFERROR(INDEX(Lookups!$B$2:$B$5,MATCH(F61,Lookups!$A$2:$A$5,0)),"")</f>
        <v/>
      </c>
      <c r="H61" s="13" t="inlineStr"/>
      <c r="I61" s="14" t="inlineStr">
        <is>
          <t>Not started</t>
        </is>
      </c>
      <c r="J61" s="14" t="inlineStr"/>
      <c r="K61" s="14" t="inlineStr"/>
      <c r="L61" s="13" t="inlineStr">
        <is>
          <t>line-window chunker (e.g. 60 lines, 10 overlap) with a language-aware split on top-level declarations where cheap. Metadata {userId, repositoryId, path, language, startLine, endLine, commitSha}.</t>
        </is>
      </c>
      <c r="M61" s="13" t="inlineStr">
        <is>
          <t>Expected Outcome delivered and all Verification checks pass.</t>
        </is>
      </c>
      <c r="N61" s="13" t="inlineStr">
        <is>
          <t>unit tests.</t>
        </is>
      </c>
      <c r="O61" s="13" t="inlineStr"/>
      <c r="P61" s="15" t="inlineStr">
        <is>
          <t>Embedding tokenizer truncates at 128 tokens - size chunks by tokens.</t>
        </is>
      </c>
    </row>
    <row r="62">
      <c r="A62" s="12" t="inlineStr">
        <is>
          <t>M6-04</t>
        </is>
      </c>
      <c r="B62" s="13" t="inlineStr">
        <is>
          <t>M6 - Indexing, search &amp; RAG</t>
        </is>
      </c>
      <c r="C62" s="13" t="inlineStr">
        <is>
          <t>Indexing job + APIs</t>
        </is>
      </c>
      <c r="D62" s="12" t="inlineStr">
        <is>
          <t>BE</t>
        </is>
      </c>
      <c r="E62" s="12" t="inlineStr">
        <is>
          <t>P0</t>
        </is>
      </c>
      <c r="F62" s="12" t="inlineStr">
        <is>
          <t>L</t>
        </is>
      </c>
      <c r="G62" s="12">
        <f>IFERROR(INDEX(Lookups!$B$2:$B$5,MATCH(F62,Lookups!$A$2:$A$5,0)),"")</f>
        <v/>
      </c>
      <c r="H62" s="13" t="inlineStr"/>
      <c r="I62" s="14" t="inlineStr">
        <is>
          <t>Not started</t>
        </is>
      </c>
      <c r="J62" s="14" t="inlineStr"/>
      <c r="K62" s="14" t="inlineStr"/>
      <c r="L62" s="13" t="inlineStr">
        <is>
          <t>POST /api/github/repositories/{id}/index → job (QUEUED/RUNNING/COMPLETED/FAILED, files and chunks counts, progress). Deletes old vectors for the repo, embeds in batches, then stores last_indexed_sha. GET …/index-status.</t>
        </is>
      </c>
      <c r="M62" s="13" t="inlineStr">
        <is>
          <t>Expected Outcome delivered and all Verification checks pass.</t>
        </is>
      </c>
      <c r="N62" s="13" t="inlineStr">
        <is>
          <t>integration test that indexes a small fixture repo and asserts the chunk count.</t>
        </is>
      </c>
      <c r="O62" s="13" t="inlineStr"/>
      <c r="P62" s="15" t="inlineStr"/>
    </row>
    <row r="63">
      <c r="A63" s="12" t="inlineStr">
        <is>
          <t>M6-05</t>
        </is>
      </c>
      <c r="B63" s="13" t="inlineStr">
        <is>
          <t>M6 - Indexing, search &amp; RAG</t>
        </is>
      </c>
      <c r="C63" s="13" t="inlineStr">
        <is>
          <t>Semantic search API</t>
        </is>
      </c>
      <c r="D63" s="12" t="inlineStr">
        <is>
          <t>BE</t>
        </is>
      </c>
      <c r="E63" s="12" t="inlineStr">
        <is>
          <t>P0</t>
        </is>
      </c>
      <c r="F63" s="12" t="inlineStr">
        <is>
          <t>M</t>
        </is>
      </c>
      <c r="G63" s="12">
        <f>IFERROR(INDEX(Lookups!$B$2:$B$5,MATCH(F63,Lookups!$A$2:$A$5,0)),"")</f>
        <v/>
      </c>
      <c r="H63" s="13" t="inlineStr"/>
      <c r="I63" s="14" t="inlineStr">
        <is>
          <t>Not started</t>
        </is>
      </c>
      <c r="J63" s="14" t="inlineStr"/>
      <c r="K63" s="14" t="inlineStr"/>
      <c r="L63" s="13" t="inlineStr">
        <is>
          <t>POST /api/search {repositoryId?, query, topK≤20, language?} → [{path, startLine, endLine, score, snippet, githubUrl}]. Filter expressions are always scoped to the current user's repositories.</t>
        </is>
      </c>
      <c r="M63" s="13" t="inlineStr">
        <is>
          <t>Expected Outcome delivered and all Verification checks pass.</t>
        </is>
      </c>
      <c r="N63" s="13" t="inlineStr">
        <is>
          <t>integration test against an indexed fixture (expected file in top 3); a cross-user isolation test.</t>
        </is>
      </c>
      <c r="O63" s="13" t="inlineStr"/>
      <c r="P63" s="15" t="inlineStr"/>
    </row>
    <row r="64">
      <c r="A64" s="12" t="inlineStr">
        <is>
          <t>M6-06</t>
        </is>
      </c>
      <c r="B64" s="13" t="inlineStr">
        <is>
          <t>M6 - Indexing, search &amp; RAG</t>
        </is>
      </c>
      <c r="C64" s="13" t="inlineStr">
        <is>
          <t>RAG context in reviews</t>
        </is>
      </c>
      <c r="D64" s="12" t="inlineStr">
        <is>
          <t>BE</t>
        </is>
      </c>
      <c r="E64" s="12" t="inlineStr">
        <is>
          <t>P1</t>
        </is>
      </c>
      <c r="F64" s="12" t="inlineStr">
        <is>
          <t>M</t>
        </is>
      </c>
      <c r="G64" s="12">
        <f>IFERROR(INDEX(Lookups!$B$2:$B$5,MATCH(F64,Lookups!$A$2:$A$5,0)),"")</f>
        <v/>
      </c>
      <c r="H64" s="13" t="inlineStr"/>
      <c r="I64" s="14" t="inlineStr">
        <is>
          <t>Not started</t>
        </is>
      </c>
      <c r="J64" s="14" t="inlineStr"/>
      <c r="K64" s="14" t="inlineStr"/>
      <c r="L64" s="13" t="inlineStr">
        <is>
          <t>for each review chunk, retrieve top-k related chunks from the same repo (excluding the changed file's own old version where possible) and add them to the prompt under a token budget. Record the references used in reviews.context_refs.</t>
        </is>
      </c>
      <c r="M64" s="13" t="inlineStr">
        <is>
          <t>Expected Outcome delivered and all Verification checks pass.</t>
        </is>
      </c>
      <c r="N64" s="13" t="inlineStr">
        <is>
          <t>unit test for prompt assembly; a comparison on 3 sample PRs with and without RAG (qualitative notes in the PR).</t>
        </is>
      </c>
      <c r="O64" s="13" t="inlineStr"/>
      <c r="P64" s="15" t="inlineStr"/>
    </row>
    <row r="65">
      <c r="A65" s="12" t="inlineStr">
        <is>
          <t>M6-07</t>
        </is>
      </c>
      <c r="B65" s="13" t="inlineStr">
        <is>
          <t>M6 - Indexing, search &amp; RAG</t>
        </is>
      </c>
      <c r="C65" s="13" t="inlineStr">
        <is>
          <t>Incremental reindex on push</t>
        </is>
      </c>
      <c r="D65" s="12" t="inlineStr">
        <is>
          <t>BE</t>
        </is>
      </c>
      <c r="E65" s="12" t="inlineStr">
        <is>
          <t>P2</t>
        </is>
      </c>
      <c r="F65" s="12" t="inlineStr">
        <is>
          <t>M</t>
        </is>
      </c>
      <c r="G65" s="12">
        <f>IFERROR(INDEX(Lookups!$B$2:$B$5,MATCH(F65,Lookups!$A$2:$A$5,0)),"")</f>
        <v/>
      </c>
      <c r="H65" s="13" t="inlineStr"/>
      <c r="I65" s="14" t="inlineStr">
        <is>
          <t>Not started</t>
        </is>
      </c>
      <c r="J65" s="14" t="inlineStr"/>
      <c r="K65" s="14" t="inlineStr"/>
      <c r="L65" s="13" t="inlineStr">
        <is>
          <t>push to the default branch of an indexed repo → re-embed only added/modified files, delete vectors for removed files, and update last_indexed_sha.</t>
        </is>
      </c>
      <c r="M65" s="13" t="inlineStr">
        <is>
          <t>Expected Outcome delivered and all Verification checks pass.</t>
        </is>
      </c>
      <c r="N65" s="13" t="inlineStr">
        <is>
          <t>integration test with a push fixture.</t>
        </is>
      </c>
      <c r="O65" s="13" t="inlineStr"/>
      <c r="P65" s="15" t="inlineStr"/>
    </row>
    <row r="66">
      <c r="A66" s="12" t="inlineStr">
        <is>
          <t>M6-08</t>
        </is>
      </c>
      <c r="B66" s="13" t="inlineStr">
        <is>
          <t>M6 - Indexing, search &amp; RAG</t>
        </is>
      </c>
      <c r="C66" s="13" t="inlineStr">
        <is>
          <t>Index tab</t>
        </is>
      </c>
      <c r="D66" s="12" t="inlineStr">
        <is>
          <t>FE</t>
        </is>
      </c>
      <c r="E66" s="12" t="inlineStr">
        <is>
          <t>P1</t>
        </is>
      </c>
      <c r="F66" s="12" t="inlineStr">
        <is>
          <t>S</t>
        </is>
      </c>
      <c r="G66" s="12">
        <f>IFERROR(INDEX(Lookups!$B$2:$B$5,MATCH(F66,Lookups!$A$2:$A$5,0)),"")</f>
        <v/>
      </c>
      <c r="H66" s="13" t="inlineStr"/>
      <c r="I66" s="14" t="inlineStr">
        <is>
          <t>Not started</t>
        </is>
      </c>
      <c r="J66" s="14" t="inlineStr"/>
      <c r="K66" s="14" t="inlineStr"/>
      <c r="L66" s="13" t="inlineStr">
        <is>
          <t>index status, last indexed SHA/time, and a Start/Reindex button with progress polling.</t>
        </is>
      </c>
      <c r="M66" s="13" t="inlineStr">
        <is>
          <t>Expected Outcome delivered and all Verification checks pass.</t>
        </is>
      </c>
      <c r="N66" s="13" t="inlineStr">
        <is>
          <t>RTL.</t>
        </is>
      </c>
      <c r="O66" s="13" t="inlineStr"/>
      <c r="P66" s="15" t="inlineStr"/>
    </row>
    <row r="67">
      <c r="A67" s="12" t="inlineStr">
        <is>
          <t>M6-09</t>
        </is>
      </c>
      <c r="B67" s="13" t="inlineStr">
        <is>
          <t>M6 - Indexing, search &amp; RAG</t>
        </is>
      </c>
      <c r="C67" s="13" t="inlineStr">
        <is>
          <t>Semantic search page</t>
        </is>
      </c>
      <c r="D67" s="12" t="inlineStr">
        <is>
          <t>FE</t>
        </is>
      </c>
      <c r="E67" s="12" t="inlineStr">
        <is>
          <t>P0</t>
        </is>
      </c>
      <c r="F67" s="12" t="inlineStr">
        <is>
          <t>M</t>
        </is>
      </c>
      <c r="G67" s="12">
        <f>IFERROR(INDEX(Lookups!$B$2:$B$5,MATCH(F67,Lookups!$A$2:$A$5,0)),"")</f>
        <v/>
      </c>
      <c r="H67" s="13" t="inlineStr"/>
      <c r="I67" s="14" t="inlineStr">
        <is>
          <t>Not started</t>
        </is>
      </c>
      <c r="J67" s="14" t="inlineStr"/>
      <c r="K67" s="14" t="inlineStr"/>
      <c r="L67" s="13" t="inlineStr">
        <is>
          <t>/search with repo picker, query box, results with highlighted snippets, a path/line link to GitHub, an empty state that suggests indexing, and debounced recent queries.</t>
        </is>
      </c>
      <c r="M67" s="13" t="inlineStr">
        <is>
          <t>Expected Outcome delivered and all Verification checks pass.</t>
        </is>
      </c>
      <c r="N67" s="13" t="inlineStr">
        <is>
          <t>RTL; manual.</t>
        </is>
      </c>
      <c r="O67" s="13" t="inlineStr"/>
      <c r="P67" s="15" t="inlineStr"/>
    </row>
    <row r="68">
      <c r="A68" s="12" t="inlineStr">
        <is>
          <t>M6-10</t>
        </is>
      </c>
      <c r="B68" s="13" t="inlineStr">
        <is>
          <t>M6 - Indexing, search &amp; RAG</t>
        </is>
      </c>
      <c r="C68" s="13" t="inlineStr">
        <is>
          <t>Retrieval quality check</t>
        </is>
      </c>
      <c r="D68" s="12" t="inlineStr">
        <is>
          <t>BE</t>
        </is>
      </c>
      <c r="E68" s="12" t="inlineStr">
        <is>
          <t>P2</t>
        </is>
      </c>
      <c r="F68" s="12" t="inlineStr">
        <is>
          <t>S</t>
        </is>
      </c>
      <c r="G68" s="12">
        <f>IFERROR(INDEX(Lookups!$B$2:$B$5,MATCH(F68,Lookups!$A$2:$A$5,0)),"")</f>
        <v/>
      </c>
      <c r="H68" s="13" t="inlineStr"/>
      <c r="I68" s="14" t="inlineStr">
        <is>
          <t>Not started</t>
        </is>
      </c>
      <c r="J68" s="14" t="inlineStr"/>
      <c r="K68" s="14" t="inlineStr"/>
      <c r="L68" s="13" t="inlineStr">
        <is>
          <t>a 15-query eval set against DevPulse's own repo, reporting recall@5. Run on demand.</t>
        </is>
      </c>
      <c r="M68" s="13" t="inlineStr">
        <is>
          <t>Expected Outcome delivered and all Verification checks pass.</t>
        </is>
      </c>
      <c r="N68" s="13" t="inlineStr">
        <is>
          <t>script output committed under docs/.</t>
        </is>
      </c>
      <c r="O68" s="13" t="inlineStr"/>
      <c r="P68" s="15" t="inlineStr"/>
    </row>
    <row r="69">
      <c r="A69" s="12" t="inlineStr">
        <is>
          <t>M7-01</t>
        </is>
      </c>
      <c r="B69" s="13" t="inlineStr">
        <is>
          <t>M7 - Hardening &amp; E2E tests</t>
        </is>
      </c>
      <c r="C69" s="13" t="inlineStr">
        <is>
          <t>Full E2E suite</t>
        </is>
      </c>
      <c r="D69" s="12" t="inlineStr">
        <is>
          <t>FE/INF</t>
        </is>
      </c>
      <c r="E69" s="12" t="inlineStr">
        <is>
          <t>P0</t>
        </is>
      </c>
      <c r="F69" s="12" t="inlineStr">
        <is>
          <t>L</t>
        </is>
      </c>
      <c r="G69" s="12">
        <f>IFERROR(INDEX(Lookups!$B$2:$B$5,MATCH(F69,Lookups!$A$2:$A$5,0)),"")</f>
        <v/>
      </c>
      <c r="H69" s="13" t="inlineStr"/>
      <c r="I69" s="14" t="inlineStr">
        <is>
          <t>Not started</t>
        </is>
      </c>
      <c r="J69" s="14" t="inlineStr"/>
      <c r="K69" s="14" t="inlineStr"/>
      <c r="L69" s="13" t="inlineStr">
        <is>
          <t>Playwright journeys (auth, connect GitHub via a WireMock GitHub stub, enable repo, run review, view findings, publish, search). Runs in CI against compose with mock AI.</t>
        </is>
      </c>
      <c r="M69" s="13" t="inlineStr">
        <is>
          <t>Expected Outcome delivered and all Verification checks pass.</t>
        </is>
      </c>
      <c r="N69" s="13" t="inlineStr">
        <is>
          <t>green in CI.</t>
        </is>
      </c>
      <c r="O69" s="13" t="inlineStr"/>
      <c r="P69" s="15" t="inlineStr"/>
    </row>
    <row r="70">
      <c r="A70" s="12" t="inlineStr">
        <is>
          <t>M7-02</t>
        </is>
      </c>
      <c r="B70" s="13" t="inlineStr">
        <is>
          <t>M7 - Hardening &amp; E2E tests</t>
        </is>
      </c>
      <c r="C70" s="13" t="inlineStr">
        <is>
          <t>Rate limiting and size limits</t>
        </is>
      </c>
      <c r="D70" s="12" t="inlineStr">
        <is>
          <t>BE</t>
        </is>
      </c>
      <c r="E70" s="12" t="inlineStr">
        <is>
          <t>P1</t>
        </is>
      </c>
      <c r="F70" s="12" t="inlineStr">
        <is>
          <t>M</t>
        </is>
      </c>
      <c r="G70" s="12">
        <f>IFERROR(INDEX(Lookups!$B$2:$B$5,MATCH(F70,Lookups!$A$2:$A$5,0)),"")</f>
        <v/>
      </c>
      <c r="H70" s="13" t="inlineStr"/>
      <c r="I70" s="14" t="inlineStr">
        <is>
          <t>Not started</t>
        </is>
      </c>
      <c r="J70" s="14" t="inlineStr"/>
      <c r="K70" s="14" t="inlineStr"/>
      <c r="L70" s="13" t="inlineStr">
        <is>
          <t>Redis-backed limits on login (brute force), register, review trigger, sync, search, and playground. server.tomcat.max-swallow-size and request-body limits.</t>
        </is>
      </c>
      <c r="M70" s="13" t="inlineStr">
        <is>
          <t>Expected Outcome delivered and all Verification checks pass.</t>
        </is>
      </c>
      <c r="N70" s="13" t="inlineStr">
        <is>
          <t>MockMvc tests hit the limits and get 429.</t>
        </is>
      </c>
      <c r="O70" s="13" t="inlineStr"/>
      <c r="P70" s="15" t="inlineStr"/>
    </row>
    <row r="71">
      <c r="A71" s="12" t="inlineStr">
        <is>
          <t>M7-03</t>
        </is>
      </c>
      <c r="B71" s="13" t="inlineStr">
        <is>
          <t>M7 - Hardening &amp; E2E tests</t>
        </is>
      </c>
      <c r="C71" s="13" t="inlineStr">
        <is>
          <t>Resilience</t>
        </is>
      </c>
      <c r="D71" s="12" t="inlineStr">
        <is>
          <t>BE</t>
        </is>
      </c>
      <c r="E71" s="12" t="inlineStr">
        <is>
          <t>P1</t>
        </is>
      </c>
      <c r="F71" s="12" t="inlineStr">
        <is>
          <t>M</t>
        </is>
      </c>
      <c r="G71" s="12">
        <f>IFERROR(INDEX(Lookups!$B$2:$B$5,MATCH(F71,Lookups!$A$2:$A$5,0)),"")</f>
        <v/>
      </c>
      <c r="H71" s="13" t="inlineStr"/>
      <c r="I71" s="14" t="inlineStr">
        <is>
          <t>Not started</t>
        </is>
      </c>
      <c r="J71" s="14" t="inlineStr"/>
      <c r="K71" s="14" t="inlineStr"/>
      <c r="L71" s="13" t="inlineStr">
        <is>
          <t>timeouts and retries with backoff for GitHub and the LLM, GitHub rate-limit awareness, job retry counts, and a dead state.</t>
        </is>
      </c>
      <c r="M71" s="13" t="inlineStr">
        <is>
          <t>Expected Outcome delivered and all Verification checks pass.</t>
        </is>
      </c>
      <c r="N71" s="13" t="inlineStr">
        <is>
          <t>WireMock fault-injection tests.</t>
        </is>
      </c>
      <c r="O71" s="13" t="inlineStr"/>
      <c r="P71" s="15" t="inlineStr"/>
    </row>
    <row r="72">
      <c r="A72" s="12" t="inlineStr">
        <is>
          <t>M7-04</t>
        </is>
      </c>
      <c r="B72" s="13" t="inlineStr">
        <is>
          <t>M7 - Hardening &amp; E2E tests</t>
        </is>
      </c>
      <c r="C72" s="13" t="inlineStr">
        <is>
          <t>Security headers and exposure</t>
        </is>
      </c>
      <c r="D72" s="12" t="inlineStr">
        <is>
          <t>BE/INF</t>
        </is>
      </c>
      <c r="E72" s="12" t="inlineStr">
        <is>
          <t>P0</t>
        </is>
      </c>
      <c r="F72" s="12" t="inlineStr">
        <is>
          <t>S</t>
        </is>
      </c>
      <c r="G72" s="12">
        <f>IFERROR(INDEX(Lookups!$B$2:$B$5,MATCH(F72,Lookups!$A$2:$A$5,0)),"")</f>
        <v/>
      </c>
      <c r="H72" s="13" t="inlineStr"/>
      <c r="I72" s="14" t="inlineStr">
        <is>
          <t>Not started</t>
        </is>
      </c>
      <c r="J72" s="14" t="inlineStr"/>
      <c r="K72" s="14" t="inlineStr"/>
      <c r="L72" s="13" t="inlineStr">
        <is>
          <t>HSTS, X-Content-Type-Options, frame denial, and a CSP for the SPA host. Actuator: only health (no details) public. Dependency scanning (Dependabot / OWASP dependency-check) and gitleaks in CI.</t>
        </is>
      </c>
      <c r="M72" s="13" t="inlineStr">
        <is>
          <t>Expected Outcome delivered and all Verification checks pass.</t>
        </is>
      </c>
      <c r="N72" s="13" t="inlineStr">
        <is>
          <t>curl header checks; the CI job is present.</t>
        </is>
      </c>
      <c r="O72" s="13" t="inlineStr"/>
      <c r="P72" s="15" t="inlineStr"/>
    </row>
    <row r="73">
      <c r="A73" s="12" t="inlineStr">
        <is>
          <t>M7-05</t>
        </is>
      </c>
      <c r="B73" s="13" t="inlineStr">
        <is>
          <t>M7 - Hardening &amp; E2E tests</t>
        </is>
      </c>
      <c r="C73" s="13" t="inlineStr">
        <is>
          <t>Accessibility and responsive QA</t>
        </is>
      </c>
      <c r="D73" s="12" t="inlineStr">
        <is>
          <t>FE</t>
        </is>
      </c>
      <c r="E73" s="12" t="inlineStr">
        <is>
          <t>P2</t>
        </is>
      </c>
      <c r="F73" s="12" t="inlineStr">
        <is>
          <t>M</t>
        </is>
      </c>
      <c r="G73" s="12">
        <f>IFERROR(INDEX(Lookups!$B$2:$B$5,MATCH(F73,Lookups!$A$2:$A$5,0)),"")</f>
        <v/>
      </c>
      <c r="H73" s="13" t="inlineStr"/>
      <c r="I73" s="14" t="inlineStr">
        <is>
          <t>Not started</t>
        </is>
      </c>
      <c r="J73" s="14" t="inlineStr"/>
      <c r="K73" s="14" t="inlineStr"/>
      <c r="L73" s="13" t="inlineStr">
        <is>
          <t>axe checks in Playwright, keyboard-only pass, and 360/768/1280 px screenshots reviewed.</t>
        </is>
      </c>
      <c r="M73" s="13" t="inlineStr">
        <is>
          <t>Expected Outcome delivered and all Verification checks pass.</t>
        </is>
      </c>
      <c r="N73" s="13" t="inlineStr">
        <is>
          <t>zero serious axe violations.</t>
        </is>
      </c>
      <c r="O73" s="13" t="inlineStr"/>
      <c r="P73" s="15" t="inlineStr"/>
    </row>
    <row r="74">
      <c r="A74" s="12" t="inlineStr">
        <is>
          <t>M7-06</t>
        </is>
      </c>
      <c r="B74" s="13" t="inlineStr">
        <is>
          <t>M7 - Hardening &amp; E2E tests</t>
        </is>
      </c>
      <c r="C74" s="13" t="inlineStr">
        <is>
          <t>Security review pass</t>
        </is>
      </c>
      <c r="D74" s="12" t="inlineStr">
        <is>
          <t>FS</t>
        </is>
      </c>
      <c r="E74" s="12" t="inlineStr">
        <is>
          <t>P1</t>
        </is>
      </c>
      <c r="F74" s="12" t="inlineStr">
        <is>
          <t>M</t>
        </is>
      </c>
      <c r="G74" s="12">
        <f>IFERROR(INDEX(Lookups!$B$2:$B$5,MATCH(F74,Lookups!$A$2:$A$5,0)),"")</f>
        <v/>
      </c>
      <c r="H74" s="13" t="inlineStr"/>
      <c r="I74" s="14" t="inlineStr">
        <is>
          <t>Not started</t>
        </is>
      </c>
      <c r="J74" s="14" t="inlineStr"/>
      <c r="K74" s="14" t="inlineStr"/>
      <c r="L74" s="13" t="inlineStr">
        <is>
          <t>OWASP ASVS L1 checklist filled in, with findings fixed or ticketed (JWT storage, CSRF stance, SSRF in GitHub URLs, prompt injection, log redaction of tokens).</t>
        </is>
      </c>
      <c r="M74" s="13" t="inlineStr">
        <is>
          <t>Expected Outcome delivered and all Verification checks pass.</t>
        </is>
      </c>
      <c r="N74" s="13" t="inlineStr">
        <is>
          <t>checklist committed in docs/.</t>
        </is>
      </c>
      <c r="O74" s="13" t="inlineStr"/>
      <c r="P74" s="15" t="inlineStr"/>
    </row>
    <row r="75">
      <c r="A75" s="12" t="inlineStr">
        <is>
          <t>M8-01</t>
        </is>
      </c>
      <c r="B75" s="13" t="inlineStr">
        <is>
          <t>M8 - Deploy, CI/CD &amp; docs</t>
        </is>
      </c>
      <c r="C75" s="13" t="inlineStr">
        <is>
          <t>Production profile</t>
        </is>
      </c>
      <c r="D75" s="12" t="inlineStr">
        <is>
          <t>BE</t>
        </is>
      </c>
      <c r="E75" s="12" t="inlineStr">
        <is>
          <t>P0</t>
        </is>
      </c>
      <c r="F75" s="12" t="inlineStr">
        <is>
          <t>S</t>
        </is>
      </c>
      <c r="G75" s="12">
        <f>IFERROR(INDEX(Lookups!$B$2:$B$5,MATCH(F75,Lookups!$A$2:$A$5,0)),"")</f>
        <v/>
      </c>
      <c r="H75" s="13" t="inlineStr"/>
      <c r="I75" s="14" t="inlineStr">
        <is>
          <t>Not started</t>
        </is>
      </c>
      <c r="J75" s="14" t="inlineStr"/>
      <c r="K75" s="14" t="inlineStr"/>
      <c r="L75" s="13" t="inlineStr">
        <is>
          <t>application-prod.properties with everything from env, Swagger off, JSON logs, ddl-auto=validate, graceful shutdown, and Hikari sizing.</t>
        </is>
      </c>
      <c r="M75" s="13" t="inlineStr">
        <is>
          <t>Expected Outcome delivered and all Verification checks pass.</t>
        </is>
      </c>
      <c r="N75" s="13" t="inlineStr">
        <is>
          <t>start with the prod profile locally against compose.</t>
        </is>
      </c>
      <c r="O75" s="13" t="inlineStr"/>
      <c r="P75" s="15" t="inlineStr"/>
    </row>
    <row r="76">
      <c r="A76" s="12" t="inlineStr">
        <is>
          <t>M8-02</t>
        </is>
      </c>
      <c r="B76" s="13" t="inlineStr">
        <is>
          <t>M8 - Deploy, CI/CD &amp; docs</t>
        </is>
      </c>
      <c r="C76" s="13" t="inlineStr">
        <is>
          <t>Secrets management</t>
        </is>
      </c>
      <c r="D76" s="12" t="inlineStr">
        <is>
          <t>INF</t>
        </is>
      </c>
      <c r="E76" s="12" t="inlineStr">
        <is>
          <t>P0</t>
        </is>
      </c>
      <c r="F76" s="12" t="inlineStr">
        <is>
          <t>S</t>
        </is>
      </c>
      <c r="G76" s="12">
        <f>IFERROR(INDEX(Lookups!$B$2:$B$5,MATCH(F76,Lookups!$A$2:$A$5,0)),"")</f>
        <v/>
      </c>
      <c r="H76" s="13" t="inlineStr">
        <is>
          <t>D-07.</t>
        </is>
      </c>
      <c r="I76" s="14" t="inlineStr">
        <is>
          <t>Not started</t>
        </is>
      </c>
      <c r="J76" s="14" t="inlineStr"/>
      <c r="K76" s="14" t="inlineStr"/>
      <c r="L76" s="13" t="inlineStr">
        <is>
          <t>secrets in AWS SSM Parameter Store/Secrets Manager, injected into ECS task definitions. Nothing in the image.</t>
        </is>
      </c>
      <c r="M76" s="13" t="inlineStr">
        <is>
          <t>Expected Outcome delivered and all Verification checks pass.</t>
        </is>
      </c>
      <c r="N76" s="13" t="inlineStr">
        <is>
          <t>docker history/image inspection shows no secrets.</t>
        </is>
      </c>
      <c r="O76" s="13" t="inlineStr"/>
      <c r="P76" s="15" t="inlineStr"/>
    </row>
    <row r="77">
      <c r="A77" s="12" t="inlineStr">
        <is>
          <t>M8-03</t>
        </is>
      </c>
      <c r="B77" s="13" t="inlineStr">
        <is>
          <t>M8 - Deploy, CI/CD &amp; docs</t>
        </is>
      </c>
      <c r="C77" s="13" t="inlineStr">
        <is>
          <t>AWS infrastructure as code</t>
        </is>
      </c>
      <c r="D77" s="12" t="inlineStr">
        <is>
          <t>INF</t>
        </is>
      </c>
      <c r="E77" s="12" t="inlineStr">
        <is>
          <t>P0</t>
        </is>
      </c>
      <c r="F77" s="12" t="inlineStr">
        <is>
          <t>XL</t>
        </is>
      </c>
      <c r="G77" s="12">
        <f>IFERROR(INDEX(Lookups!$B$2:$B$5,MATCH(F77,Lookups!$A$2:$A$5,0)),"")</f>
        <v/>
      </c>
      <c r="H77" s="13" t="inlineStr"/>
      <c r="I77" s="14" t="inlineStr">
        <is>
          <t>Not started</t>
        </is>
      </c>
      <c r="J77" s="14" t="inlineStr"/>
      <c r="K77" s="14" t="inlineStr"/>
      <c r="L77" s="13" t="inlineStr">
        <is>
          <t>Terraform or CDK (D-07) for VPC, RDS PostgreSQL 17 with pgvector, Redis, ECR, ECS Fargate service behind an ALB, ACM certificate, and Route 53. Split into network / data / compute PRs.</t>
        </is>
      </c>
      <c r="M77" s="13" t="inlineStr">
        <is>
          <t>Expected Outcome delivered and all Verification checks pass.</t>
        </is>
      </c>
      <c r="N77" s="13" t="inlineStr">
        <is>
          <t>plan reviewed by you before any apply (cost-incurring; explicit approval each time).</t>
        </is>
      </c>
      <c r="O77" s="13" t="inlineStr"/>
      <c r="P77" s="15" t="inlineStr"/>
    </row>
    <row r="78">
      <c r="A78" s="12" t="inlineStr">
        <is>
          <t>M8-04</t>
        </is>
      </c>
      <c r="B78" s="13" t="inlineStr">
        <is>
          <t>M8 - Deploy, CI/CD &amp; docs</t>
        </is>
      </c>
      <c r="C78" s="13" t="inlineStr">
        <is>
          <t>Frontend hosting</t>
        </is>
      </c>
      <c r="D78" s="12" t="inlineStr">
        <is>
          <t>INF</t>
        </is>
      </c>
      <c r="E78" s="12" t="inlineStr">
        <is>
          <t>P0</t>
        </is>
      </c>
      <c r="F78" s="12" t="inlineStr">
        <is>
          <t>M</t>
        </is>
      </c>
      <c r="G78" s="12">
        <f>IFERROR(INDEX(Lookups!$B$2:$B$5,MATCH(F78,Lookups!$A$2:$A$5,0)),"")</f>
        <v/>
      </c>
      <c r="H78" s="13" t="inlineStr"/>
      <c r="I78" s="14" t="inlineStr">
        <is>
          <t>Not started</t>
        </is>
      </c>
      <c r="J78" s="14" t="inlineStr"/>
      <c r="K78" s="14" t="inlineStr"/>
      <c r="L78" s="13" t="inlineStr">
        <is>
          <t>S3 (private) + CloudFront with OAC, SPA fallback to index.html, security headers, and cache policy.</t>
        </is>
      </c>
      <c r="M78" s="13" t="inlineStr">
        <is>
          <t>Expected Outcome delivered and all Verification checks pass.</t>
        </is>
      </c>
      <c r="N78" s="13" t="inlineStr">
        <is>
          <t>deployed URL loads and deep links work.</t>
        </is>
      </c>
      <c r="O78" s="13" t="inlineStr"/>
      <c r="P78" s="15" t="inlineStr"/>
    </row>
    <row r="79">
      <c r="A79" s="12" t="inlineStr">
        <is>
          <t>M8-05</t>
        </is>
      </c>
      <c r="B79" s="13" t="inlineStr">
        <is>
          <t>M8 - Deploy, CI/CD &amp; docs</t>
        </is>
      </c>
      <c r="C79" s="13" t="inlineStr">
        <is>
          <t>Observability</t>
        </is>
      </c>
      <c r="D79" s="12" t="inlineStr">
        <is>
          <t>INF/BE</t>
        </is>
      </c>
      <c r="E79" s="12" t="inlineStr">
        <is>
          <t>P1</t>
        </is>
      </c>
      <c r="F79" s="12" t="inlineStr">
        <is>
          <t>M</t>
        </is>
      </c>
      <c r="G79" s="12">
        <f>IFERROR(INDEX(Lookups!$B$2:$B$5,MATCH(F79,Lookups!$A$2:$A$5,0)),"")</f>
        <v/>
      </c>
      <c r="H79" s="13" t="inlineStr"/>
      <c r="I79" s="14" t="inlineStr">
        <is>
          <t>Not started</t>
        </is>
      </c>
      <c r="J79" s="14" t="inlineStr"/>
      <c r="K79" s="14" t="inlineStr"/>
      <c r="L79" s="13" t="inlineStr">
        <is>
          <t>Micrometer metrics (review duration, LLM tokens, GitHub calls, job failures) to CloudWatch, structured logs with request ID, alarms (5xx rate, job failures, DB CPU).</t>
        </is>
      </c>
      <c r="M79" s="13" t="inlineStr">
        <is>
          <t>Expected Outcome delivered and all Verification checks pass.</t>
        </is>
      </c>
      <c r="N79" s="13" t="inlineStr">
        <is>
          <t>dashboard screenshot; a test alarm fires.</t>
        </is>
      </c>
      <c r="O79" s="13" t="inlineStr"/>
      <c r="P79" s="15" t="inlineStr"/>
    </row>
    <row r="80">
      <c r="A80" s="12" t="inlineStr">
        <is>
          <t>M8-06</t>
        </is>
      </c>
      <c r="B80" s="13" t="inlineStr">
        <is>
          <t>M8 - Deploy, CI/CD &amp; docs</t>
        </is>
      </c>
      <c r="C80" s="13" t="inlineStr">
        <is>
          <t>CD pipelines</t>
        </is>
      </c>
      <c r="D80" s="12" t="inlineStr">
        <is>
          <t>INF</t>
        </is>
      </c>
      <c r="E80" s="12" t="inlineStr">
        <is>
          <t>P0</t>
        </is>
      </c>
      <c r="F80" s="12" t="inlineStr">
        <is>
          <t>M</t>
        </is>
      </c>
      <c r="G80" s="12">
        <f>IFERROR(INDEX(Lookups!$B$2:$B$5,MATCH(F80,Lookups!$A$2:$A$5,0)),"")</f>
        <v/>
      </c>
      <c r="H80" s="13" t="inlineStr"/>
      <c r="I80" s="14" t="inlineStr">
        <is>
          <t>Not started</t>
        </is>
      </c>
      <c r="J80" s="14" t="inlineStr"/>
      <c r="K80" s="14" t="inlineStr"/>
      <c r="L80" s="13" t="inlineStr">
        <is>
          <t>GitHub Actions with OIDC to AWS (no long-lived keys). On a main merge: test → build image → push to ECR → deploy to ECS (staging), then manual approval → prod. Frontend: build → S3 sync → CloudFront invalidation.</t>
        </is>
      </c>
      <c r="M80" s="13" t="inlineStr">
        <is>
          <t>Expected Outcome delivered and all Verification checks pass.</t>
        </is>
      </c>
      <c r="N80" s="13" t="inlineStr">
        <is>
          <t>a deployment run log.</t>
        </is>
      </c>
      <c r="O80" s="13" t="inlineStr"/>
      <c r="P80" s="15" t="inlineStr"/>
    </row>
    <row r="81">
      <c r="A81" s="12" t="inlineStr">
        <is>
          <t>M8-07</t>
        </is>
      </c>
      <c r="B81" s="13" t="inlineStr">
        <is>
          <t>M8 - Deploy, CI/CD &amp; docs</t>
        </is>
      </c>
      <c r="C81" s="13" t="inlineStr">
        <is>
          <t>Documentation</t>
        </is>
      </c>
      <c r="D81" s="12" t="inlineStr">
        <is>
          <t>Docs</t>
        </is>
      </c>
      <c r="E81" s="12" t="inlineStr">
        <is>
          <t>P1</t>
        </is>
      </c>
      <c r="F81" s="12" t="inlineStr">
        <is>
          <t>M</t>
        </is>
      </c>
      <c r="G81" s="12">
        <f>IFERROR(INDEX(Lookups!$B$2:$B$5,MATCH(F81,Lookups!$A$2:$A$5,0)),"")</f>
        <v/>
      </c>
      <c r="H81" s="13" t="inlineStr"/>
      <c r="I81" s="14" t="inlineStr">
        <is>
          <t>Not started</t>
        </is>
      </c>
      <c r="J81" s="14" t="inlineStr"/>
      <c r="K81" s="14" t="inlineStr"/>
      <c r="L81" s="13" t="inlineStr">
        <is>
          <t>README.md (overview, quick start, architecture diagram), docs/architecture.md, docs/runbook.md, ADRs for each decision in TECHNICAL_DECISIONS, and an API link to OpenAPI. Replace HELP.md. Stop excluding README.md in .dockerignore only if needed.</t>
        </is>
      </c>
      <c r="M81" s="13" t="inlineStr">
        <is>
          <t>Expected Outcome delivered and all Verification checks pass.</t>
        </is>
      </c>
      <c r="N81" s="13" t="inlineStr">
        <is>
          <t>a fresh-clone dry run by following the README.</t>
        </is>
      </c>
      <c r="O81" s="13" t="inlineStr"/>
      <c r="P81" s="15" t="inlineStr"/>
    </row>
    <row r="82">
      <c r="A82" s="12" t="inlineStr">
        <is>
          <t>M8-08</t>
        </is>
      </c>
      <c r="B82" s="13" t="inlineStr">
        <is>
          <t>M8 - Deploy, CI/CD &amp; docs</t>
        </is>
      </c>
      <c r="C82" s="13" t="inlineStr">
        <is>
          <t>Cost controls</t>
        </is>
      </c>
      <c r="D82" s="12" t="inlineStr">
        <is>
          <t>INF</t>
        </is>
      </c>
      <c r="E82" s="12" t="inlineStr">
        <is>
          <t>P0</t>
        </is>
      </c>
      <c r="F82" s="12" t="inlineStr">
        <is>
          <t>S</t>
        </is>
      </c>
      <c r="G82" s="12">
        <f>IFERROR(INDEX(Lookups!$B$2:$B$5,MATCH(F82,Lookups!$A$2:$A$5,0)),"")</f>
        <v/>
      </c>
      <c r="H82" s="13" t="inlineStr"/>
      <c r="I82" s="14" t="inlineStr">
        <is>
          <t>Not started</t>
        </is>
      </c>
      <c r="J82" s="14" t="inlineStr"/>
      <c r="K82" s="14" t="inlineStr"/>
      <c r="L82" s="13" t="inlineStr">
        <is>
          <t>AWS Budgets alert, LLM provider spend cap, and a documented teardown (destroy) for non-prod.</t>
        </is>
      </c>
      <c r="M82" s="13" t="inlineStr">
        <is>
          <t>Expected Outcome delivered and all Verification checks pass.</t>
        </is>
      </c>
      <c r="N82" s="13" t="inlineStr">
        <is>
          <t>budget alert email received in a test.</t>
        </is>
      </c>
      <c r="O82" s="13" t="inlineStr"/>
      <c r="P82" s="15" t="inlineStr"/>
    </row>
  </sheetData>
  <autoFilter ref="A1:P82"/>
  <conditionalFormatting sqref="I2:I82">
    <cfRule type="cellIs" priority="1" operator="equal" dxfId="0">
      <formula>"Done"</formula>
    </cfRule>
    <cfRule type="cellIs" priority="2" operator="equal" dxfId="1">
      <formula>"In progress"</formula>
    </cfRule>
    <cfRule type="cellIs" priority="3" operator="equal" dxfId="2">
      <formula>"Blocked"</formula>
    </cfRule>
  </conditionalFormatting>
  <conditionalFormatting sqref="A2:A82">
    <cfRule type="expression" priority="4" dxfId="3">
      <formula>$I2="Done"</formula>
    </cfRule>
  </conditionalFormatting>
  <conditionalFormatting sqref="E2:E82">
    <cfRule type="cellIs" priority="5" operator="equal" dxfId="4">
      <formula>"P0"</formula>
    </cfRule>
  </conditionalFormatting>
  <dataValidations count="3">
    <dataValidation sqref="I2:I82" showDropDown="0" showInputMessage="0" showErrorMessage="0" allowBlank="0" type="list">
      <formula1>=Lookups!$E$2:$E$5</formula1>
    </dataValidation>
    <dataValidation sqref="E2:E82" showDropDown="0" showInputMessage="0" showErrorMessage="0" allowBlank="0" type="list">
      <formula1>"P0,P1,P2"</formula1>
    </dataValidation>
    <dataValidation sqref="F2:F82" showDropDown="0" showInputMessage="0" showErrorMessage="0" allowBlank="0" type="list">
      <formula1>=Lookups!$A$2:$A$5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52" customWidth="1" min="3" max="3"/>
    <col width="14" customWidth="1" min="4" max="4"/>
    <col width="10" customWidth="1" min="5" max="5"/>
    <col width="30" customWidth="1" min="6" max="6"/>
    <col width="22" customWidth="1" min="7" max="7"/>
  </cols>
  <sheetData>
    <row r="1">
      <c r="A1" s="3" t="inlineStr">
        <is>
          <t>ID</t>
        </is>
      </c>
      <c r="B1" s="3" t="inlineStr">
        <is>
          <t>Decision</t>
        </is>
      </c>
      <c r="C1" s="3" t="inlineStr">
        <is>
          <t>Recommendation</t>
        </is>
      </c>
      <c r="D1" s="3" t="inlineStr">
        <is>
          <t>Needs Approval</t>
        </is>
      </c>
      <c r="E1" s="3" t="inlineStr">
        <is>
          <t>Status</t>
        </is>
      </c>
      <c r="F1" s="3" t="inlineStr">
        <is>
          <t>Your Decision</t>
        </is>
      </c>
      <c r="G1" s="3" t="inlineStr">
        <is>
          <t>Affects Tasks</t>
        </is>
      </c>
    </row>
    <row r="2">
      <c r="A2" s="13" t="inlineStr">
        <is>
          <t>D-01</t>
        </is>
      </c>
      <c r="B2" s="13" t="inlineStr">
        <is>
          <t>Leaked secrets &amp; Git history</t>
        </is>
      </c>
      <c r="C2" s="13" t="inlineStr">
        <is>
          <t>Rotate + remove from HEAD (a); optionally rewrite history later</t>
        </is>
      </c>
      <c r="D2" s="13" t="inlineStr">
        <is>
          <t>Yes</t>
        </is>
      </c>
      <c r="E2" s="15" t="inlineStr">
        <is>
          <t>Decided</t>
        </is>
      </c>
      <c r="F2" s="15" t="inlineStr">
        <is>
          <t>Option (a) for now (2026-10-21)</t>
        </is>
      </c>
      <c r="G2" s="13" t="inlineStr">
        <is>
          <t>M0-01, M0-05</t>
        </is>
      </c>
    </row>
    <row r="3">
      <c r="A3" s="13" t="inlineStr">
        <is>
          <t>D-02</t>
        </is>
      </c>
      <c r="B3" s="13" t="inlineStr">
        <is>
          <t>GitHub App vs OAuth App</t>
        </is>
      </c>
      <c r="C3" s="13" t="inlineStr">
        <is>
          <t>GitHub App</t>
        </is>
      </c>
      <c r="D3" s="13" t="inlineStr">
        <is>
          <t>Yes</t>
        </is>
      </c>
      <c r="E3" s="15" t="inlineStr">
        <is>
          <t>Open</t>
        </is>
      </c>
      <c r="F3" s="15" t="inlineStr"/>
      <c r="G3" s="13" t="inlineStr">
        <is>
          <t>M3-01, M5-01, M5-04</t>
        </is>
      </c>
    </row>
    <row r="4">
      <c r="A4" s="13" t="inlineStr">
        <is>
          <t>D-03</t>
        </is>
      </c>
      <c r="B4" s="13" t="inlineStr">
        <is>
          <t>LLM provider &amp; spend</t>
        </is>
      </c>
      <c r="C4" s="13" t="inlineStr">
        <is>
          <t>Keep mock default; pick one real provider for M4-15 with a spend cap</t>
        </is>
      </c>
      <c r="D4" s="13" t="inlineStr">
        <is>
          <t>Yes (paid)</t>
        </is>
      </c>
      <c r="E4" s="15" t="inlineStr">
        <is>
          <t>Open</t>
        </is>
      </c>
      <c r="F4" s="15" t="inlineStr"/>
      <c r="G4" s="13" t="inlineStr">
        <is>
          <t>M4-04, M4-07, M4-15</t>
        </is>
      </c>
    </row>
    <row r="5">
      <c r="A5" s="13" t="inlineStr">
        <is>
          <t>D-04</t>
        </is>
      </c>
      <c r="B5" s="13" t="inlineStr">
        <is>
          <t>Frontend location</t>
        </is>
      </c>
      <c r="C5" s="13" t="inlineStr">
        <is>
          <t>frontend/ folder in this repo (monorepo)</t>
        </is>
      </c>
      <c r="D5" s="13" t="inlineStr">
        <is>
          <t>No</t>
        </is>
      </c>
      <c r="E5" s="15" t="inlineStr">
        <is>
          <t>Open</t>
        </is>
      </c>
      <c r="F5" s="15" t="inlineStr"/>
      <c r="G5" s="13" t="inlineStr">
        <is>
          <t>M2-03</t>
        </is>
      </c>
    </row>
    <row r="6">
      <c r="A6" s="13" t="inlineStr">
        <is>
          <t>D-05</t>
        </is>
      </c>
      <c r="B6" s="13" t="inlineStr">
        <is>
          <t>Browser session strategy</t>
        </is>
      </c>
      <c r="C6" s="13" t="inlineStr">
        <is>
          <t>Bearer JWT in memory + sessionStorage for MVP; refresh cookie later</t>
        </is>
      </c>
      <c r="D6" s="13" t="inlineStr">
        <is>
          <t>No</t>
        </is>
      </c>
      <c r="E6" s="15" t="inlineStr">
        <is>
          <t>Open</t>
        </is>
      </c>
      <c r="F6" s="15" t="inlineStr"/>
      <c r="G6" s="13" t="inlineStr">
        <is>
          <t>M2-04, M7-06</t>
        </is>
      </c>
    </row>
    <row r="7">
      <c r="A7" s="13" t="inlineStr">
        <is>
          <t>D-06</t>
        </is>
      </c>
      <c r="B7" s="13" t="inlineStr">
        <is>
          <t>Embeddings &amp; vector store</t>
        </is>
      </c>
      <c r="C7" s="13" t="inlineStr">
        <is>
          <t>Local ONNX embeddings + pgvector, model loaded from URI</t>
        </is>
      </c>
      <c r="D7" s="13" t="inlineStr">
        <is>
          <t>No</t>
        </is>
      </c>
      <c r="E7" s="15" t="inlineStr">
        <is>
          <t>Open</t>
        </is>
      </c>
      <c r="F7" s="15" t="inlineStr"/>
      <c r="G7" s="13" t="inlineStr">
        <is>
          <t>M0-05, M6-*</t>
        </is>
      </c>
    </row>
    <row r="8">
      <c r="A8" s="13" t="inlineStr">
        <is>
          <t>D-07</t>
        </is>
      </c>
      <c r="B8" s="13" t="inlineStr">
        <is>
          <t>AWS footprint &amp; cost</t>
        </is>
      </c>
      <c r="C8" s="13" t="inlineStr">
        <is>
          <t>Check Billing now; ECS Fargate + RDS + S3/CloudFront at M8</t>
        </is>
      </c>
      <c r="D8" s="13" t="inlineStr">
        <is>
          <t>Yes (cost)</t>
        </is>
      </c>
      <c r="E8" s="15" t="inlineStr">
        <is>
          <t>Open</t>
        </is>
      </c>
      <c r="F8" s="15" t="inlineStr"/>
      <c r="G8" s="13" t="inlineStr">
        <is>
          <t>M8-*</t>
        </is>
      </c>
    </row>
    <row r="9">
      <c r="A9" s="13" t="inlineStr">
        <is>
          <t>D-08</t>
        </is>
      </c>
      <c r="B9" s="13" t="inlineStr">
        <is>
          <t>Keep S3?</t>
        </is>
      </c>
      <c r="C9" s="13" t="inlineStr">
        <is>
          <t>Remove test controller; no S3 until a real need</t>
        </is>
      </c>
      <c r="D9" s="13" t="inlineStr">
        <is>
          <t>No</t>
        </is>
      </c>
      <c r="E9" s="15" t="inlineStr">
        <is>
          <t>Open</t>
        </is>
      </c>
      <c r="F9" s="15" t="inlineStr"/>
      <c r="G9" s="13" t="inlineStr">
        <is>
          <t>M1-08</t>
        </is>
      </c>
    </row>
    <row r="10">
      <c r="A10" s="13" t="inlineStr">
        <is>
          <t>D-09</t>
        </is>
      </c>
      <c r="B10" s="13" t="inlineStr">
        <is>
          <t>Spring Boot version</t>
        </is>
      </c>
      <c r="C10" s="13" t="inlineStr">
        <is>
          <t>Latest 3.5.x patch now; Boot 4 upgrade after M4</t>
        </is>
      </c>
      <c r="D10" s="13" t="inlineStr">
        <is>
          <t>No</t>
        </is>
      </c>
      <c r="E10" s="15" t="inlineStr">
        <is>
          <t>Open</t>
        </is>
      </c>
      <c r="F10" s="15" t="inlineStr"/>
      <c r="G10" s="13" t="inlineStr">
        <is>
          <t>M0, post-M4</t>
        </is>
      </c>
    </row>
    <row r="11">
      <c r="A11" s="13" t="inlineStr">
        <is>
          <t>D-10</t>
        </is>
      </c>
      <c r="B11" s="13" t="inlineStr">
        <is>
          <t>Docker runtime on Mac</t>
        </is>
      </c>
      <c r="C11" s="13" t="inlineStr">
        <is>
          <t>Docker Desktop</t>
        </is>
      </c>
      <c r="D11" s="13" t="inlineStr">
        <is>
          <t>No</t>
        </is>
      </c>
      <c r="E11" s="15" t="inlineStr">
        <is>
          <t>Decided</t>
        </is>
      </c>
      <c r="F11" s="15" t="inlineStr">
        <is>
          <t>Docker Desktop</t>
        </is>
      </c>
      <c r="G11" s="13" t="inlineStr">
        <is>
          <t>M0-03, M0-07</t>
        </is>
      </c>
    </row>
    <row r="12">
      <c r="A12" s="13" t="inlineStr">
        <is>
          <t>D-11</t>
        </is>
      </c>
      <c r="B12" s="13" t="inlineStr">
        <is>
          <t>Frontend stack</t>
        </is>
      </c>
      <c r="C12" s="13" t="inlineStr">
        <is>
          <t>Vite + React + TS, React Router, TanStack Query, Tailwind + shadcn/ui</t>
        </is>
      </c>
      <c r="D12" s="13" t="inlineStr">
        <is>
          <t>No</t>
        </is>
      </c>
      <c r="E12" s="15" t="inlineStr">
        <is>
          <t>Open</t>
        </is>
      </c>
      <c r="F12" s="15" t="inlineStr"/>
      <c r="G12" s="13" t="inlineStr">
        <is>
          <t>M2-03..M2-05</t>
        </is>
      </c>
    </row>
    <row r="13">
      <c r="A13" s="13" t="inlineStr">
        <is>
          <t>D-12</t>
        </is>
      </c>
      <c r="B13" s="13" t="inlineStr">
        <is>
          <t>Background jobs</t>
        </is>
      </c>
      <c r="C13" s="13" t="inlineStr">
        <is>
          <t>DB job table + @Async on virtual threads</t>
        </is>
      </c>
      <c r="D13" s="13" t="inlineStr">
        <is>
          <t>No</t>
        </is>
      </c>
      <c r="E13" s="15" t="inlineStr">
        <is>
          <t>Open</t>
        </is>
      </c>
      <c r="F13" s="15" t="inlineStr"/>
      <c r="G13" s="13" t="inlineStr">
        <is>
          <t>M3-04, M4-05, M6-04</t>
        </is>
      </c>
    </row>
    <row r="14">
      <c r="A14" s="13" t="inlineStr">
        <is>
          <t>D-13</t>
        </is>
      </c>
      <c r="B14" s="13" t="inlineStr">
        <is>
          <t>Review defaults</t>
        </is>
      </c>
      <c r="C14" s="13" t="inlineStr">
        <is>
          <t>Opt-in per repo, auto-review on, comments off, threshold MEDIUM</t>
        </is>
      </c>
      <c r="D14" s="13" t="inlineStr">
        <is>
          <t>No</t>
        </is>
      </c>
      <c r="E14" s="15" t="inlineStr">
        <is>
          <t>Open</t>
        </is>
      </c>
      <c r="F14" s="15" t="inlineStr"/>
      <c r="G14" s="13" t="inlineStr">
        <is>
          <t>M3-06, M5-05</t>
        </is>
      </c>
    </row>
    <row r="15">
      <c r="A15" s="13" t="inlineStr">
        <is>
          <t>IDE</t>
        </is>
      </c>
      <c r="B15" s="13" t="inlineStr">
        <is>
          <t>Editor</t>
        </is>
      </c>
      <c r="C15" s="13" t="inlineStr">
        <is>
          <t>IntelliJ IDEA (free) for backend, VS Code for frontend</t>
        </is>
      </c>
      <c r="D15" s="13" t="inlineStr">
        <is>
          <t>No</t>
        </is>
      </c>
      <c r="E15" s="15" t="inlineStr">
        <is>
          <t>Decided</t>
        </is>
      </c>
      <c r="F15" s="15" t="inlineStr">
        <is>
          <t>IntelliJ IDEA downloaded</t>
        </is>
      </c>
      <c r="G15" s="13" t="inlineStr">
        <is>
          <t>-</t>
        </is>
      </c>
    </row>
  </sheetData>
  <conditionalFormatting sqref="E2:E15">
    <cfRule type="cellIs" priority="1" operator="equal" dxfId="0">
      <formula>"Decided"</formula>
    </cfRule>
  </conditionalFormatting>
  <dataValidations count="1">
    <dataValidation sqref="E2:E15" showDropDown="0" showInputMessage="0" showErrorMessage="0" allowBlank="0" type="list">
      <formula1>"Open,Decided"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 customWidth="1" min="1" max="1"/>
    <col width="46" customWidth="1" min="2" max="2"/>
    <col width="46" customWidth="1" min="3" max="3"/>
    <col width="40" customWidth="1" min="4" max="4"/>
  </cols>
  <sheetData>
    <row r="1">
      <c r="A1" s="3" t="inlineStr">
        <is>
          <t>ID</t>
        </is>
      </c>
      <c r="B1" s="3" t="inlineStr">
        <is>
          <t>Item</t>
        </is>
      </c>
      <c r="C1" s="3" t="inlineStr">
        <is>
          <t>Evidence</t>
        </is>
      </c>
      <c r="D1" s="3" t="inlineStr">
        <is>
          <t>Caveat</t>
        </is>
      </c>
    </row>
    <row r="2">
      <c r="A2" s="13" t="inlineStr">
        <is>
          <t>C-01</t>
        </is>
      </c>
      <c r="B2" s="13" t="inlineStr">
        <is>
          <t>Maven project, Spring Boot 3.5.6, Java 21, layered packages</t>
        </is>
      </c>
      <c r="C2" s="13" t="inlineStr">
        <is>
          <t>pom.xml</t>
        </is>
      </c>
      <c r="D2" s="13" t="inlineStr">
        <is>
          <t>Compile not yet verified</t>
        </is>
      </c>
    </row>
    <row r="3">
      <c r="A3" s="13" t="inlineStr">
        <is>
          <t>C-02</t>
        </is>
      </c>
      <c r="B3" s="13" t="inlineStr">
        <is>
          <t>Registration with BCrypt + validation</t>
        </is>
      </c>
      <c r="C3" s="13" t="inlineStr">
        <is>
          <t>UserServiceImpl.register, RegisterRequest</t>
        </is>
      </c>
      <c r="D3" s="13" t="inlineStr">
        <is>
          <t>Returns plain text</t>
        </is>
      </c>
    </row>
    <row r="4">
      <c r="A4" s="13" t="inlineStr">
        <is>
          <t>C-03</t>
        </is>
      </c>
      <c r="B4" s="13" t="inlineStr">
        <is>
          <t>Login issuing JWT with jti and expiry</t>
        </is>
      </c>
      <c r="C4" s="13" t="inlineStr">
        <is>
          <t>JwtService.generateToken</t>
        </is>
      </c>
      <c r="D4" s="13" t="inlineStr">
        <is>
          <t>Secret leaked → rotate (M0-01)</t>
        </is>
      </c>
    </row>
    <row r="5">
      <c r="A5" s="13" t="inlineStr">
        <is>
          <t>C-04</t>
        </is>
      </c>
      <c r="B5" s="13" t="inlineStr">
        <is>
          <t>Logout via Redis jti blacklist</t>
        </is>
      </c>
      <c r="C5" s="13" t="inlineStr">
        <is>
          <t>AuthController.logout, JwtBlacklistServiceImpl</t>
        </is>
      </c>
      <c r="D5" s="13" t="inlineStr">
        <is>
          <t>Crashes on malformed token (M1-03)</t>
        </is>
      </c>
    </row>
    <row r="6">
      <c r="A6" s="13" t="inlineStr">
        <is>
          <t>C-05</t>
        </is>
      </c>
      <c r="B6" s="13" t="inlineStr">
        <is>
          <t>Profile read/update, change password</t>
        </is>
      </c>
      <c r="C6" s="13" t="inlineStr">
        <is>
          <t>ProfileController, UserServiceImpl</t>
        </is>
      </c>
      <c r="D6" s="13" t="inlineStr">
        <is>
          <t>500 on missing user (M1-04)</t>
        </is>
      </c>
    </row>
    <row r="7">
      <c r="A7" s="13" t="inlineStr">
        <is>
          <t>C-06</t>
        </is>
      </c>
      <c r="B7" s="13" t="inlineStr">
        <is>
          <t>Role-based method security</t>
        </is>
      </c>
      <c r="C7" s="13" t="inlineStr">
        <is>
          <t>SecurityConfig @EnableMethodSecurity, AdminController</t>
        </is>
      </c>
      <c r="D7" s="13" t="inlineStr">
        <is>
          <t>—</t>
        </is>
      </c>
    </row>
    <row r="8">
      <c r="A8" s="13" t="inlineStr">
        <is>
          <t>C-07</t>
        </is>
      </c>
      <c r="B8" s="13" t="inlineStr">
        <is>
          <t>GitHub OAuth state (HMAC, Redis, single-use, 10 min)</t>
        </is>
      </c>
      <c r="C8" s="13" t="inlineStr">
        <is>
          <t>GitHubOAuthStateServiceImpl</t>
        </is>
      </c>
      <c r="D8" s="13" t="inlineStr">
        <is>
          <t>—</t>
        </is>
      </c>
    </row>
    <row r="9">
      <c r="A9" s="13" t="inlineStr">
        <is>
          <t>C-08</t>
        </is>
      </c>
      <c r="B9" s="13" t="inlineStr">
        <is>
          <t>GitHub API client: user, repos, PRs (paged)</t>
        </is>
      </c>
      <c r="C9" s="13" t="inlineStr">
        <is>
          <t>GitHubApiClientImpl</t>
        </is>
      </c>
      <c r="D9" s="13" t="inlineStr">
        <is>
          <t>No timeouts or rate-limit handling</t>
        </is>
      </c>
    </row>
    <row r="10">
      <c r="A10" s="13" t="inlineStr">
        <is>
          <t>C-09</t>
        </is>
      </c>
      <c r="B10" s="13" t="inlineStr">
        <is>
          <t>Repo + PR upsert synchronization</t>
        </is>
      </c>
      <c r="C10" s="13" t="inlineStr">
        <is>
          <t>GitHubRepositoryServiceImpl, PullRequestServiceImpl</t>
        </is>
      </c>
      <c r="D10" s="13" t="inlineStr">
        <is>
          <t>Sync in request thread; PR cache bug</t>
        </is>
      </c>
    </row>
    <row r="11">
      <c r="A11" s="13" t="inlineStr">
        <is>
          <t>C-10</t>
        </is>
      </c>
      <c r="B11" s="13" t="inlineStr">
        <is>
          <t>Redis wrapper + repository cache</t>
        </is>
      </c>
      <c r="C11" s="13" t="inlineStr">
        <is>
          <t>RedisServiceImpl, GitHubCacheServiceImpl</t>
        </is>
      </c>
      <c r="D11" s="13" t="inlineStr">
        <is>
          <t>—</t>
        </is>
      </c>
    </row>
    <row r="12">
      <c r="A12" s="13" t="inlineStr">
        <is>
          <t>C-11</t>
        </is>
      </c>
      <c r="B12" s="13" t="inlineStr">
        <is>
          <t>AI provider abstraction, mock + OpenAI, JSON prompt</t>
        </is>
      </c>
      <c r="C12" s="13" t="inlineStr">
        <is>
          <t>AIProviderConfig, prompts/code-review.st</t>
        </is>
      </c>
      <c r="D12" s="13" t="inlineStr">
        <is>
          <t>Snippet-only, unpersisted</t>
        </is>
      </c>
    </row>
    <row r="13">
      <c r="A13" s="13" t="inlineStr">
        <is>
          <t>C-12</t>
        </is>
      </c>
      <c r="B13" s="13" t="inlineStr">
        <is>
          <t>Flyway V1 baseline for 4 tables</t>
        </is>
      </c>
      <c r="C13" s="13" t="inlineStr">
        <is>
          <t>V1__baseline.sql</t>
        </is>
      </c>
      <c r="D13" s="13" t="inlineStr">
        <is>
          <t>ddl-auto=update locally</t>
        </is>
      </c>
    </row>
    <row r="14">
      <c r="A14" s="13" t="inlineStr">
        <is>
          <t>C-13</t>
        </is>
      </c>
      <c r="B14" s="13" t="inlineStr">
        <is>
          <t>Multi-stage non-root Dockerfile</t>
        </is>
      </c>
      <c r="C14" s="13" t="inlineStr">
        <is>
          <t>Dockerfile</t>
        </is>
      </c>
      <c r="D14" s="13" t="inlineStr">
        <is>
          <t>Bundles the 90 MB model</t>
        </is>
      </c>
    </row>
    <row r="16">
      <c r="A16" s="2" t="inlineStr">
        <is>
          <t>Completed by code review only - not runtime-verified (see PROJECT_AUDIT.md).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1" customWidth="1" min="2" max="2"/>
    <col width="34" customWidth="1" min="3" max="3"/>
    <col width="3" customWidth="1" min="4" max="4"/>
    <col width="14" customWidth="1" min="5" max="5"/>
    <col width="3" customWidth="1" min="6" max="6"/>
    <col width="10" customWidth="1" min="7" max="7"/>
    <col width="28" customWidth="1" min="8" max="8"/>
  </cols>
  <sheetData>
    <row r="1">
      <c r="A1" s="10" t="inlineStr">
        <is>
          <t>Effort</t>
        </is>
      </c>
      <c r="B1" s="10" t="inlineStr">
        <is>
          <t>Est. Hours</t>
        </is>
      </c>
      <c r="C1" s="10" t="inlineStr">
        <is>
          <t>Meaning</t>
        </is>
      </c>
      <c r="D1" s="11" t="n"/>
      <c r="E1" s="10" t="inlineStr">
        <is>
          <t>Status values</t>
        </is>
      </c>
      <c r="F1" s="11" t="n"/>
      <c r="G1" s="10" t="inlineStr">
        <is>
          <t>Priority</t>
        </is>
      </c>
      <c r="H1" s="10" t="n"/>
    </row>
    <row r="2">
      <c r="A2" s="11" t="inlineStr">
        <is>
          <t>S</t>
        </is>
      </c>
      <c r="B2" s="16" t="n">
        <v>2</v>
      </c>
      <c r="C2" s="11" t="inlineStr">
        <is>
          <t>Up to ~2 hours</t>
        </is>
      </c>
      <c r="D2" s="11" t="n"/>
      <c r="E2" s="11" t="inlineStr">
        <is>
          <t>Not started</t>
        </is>
      </c>
      <c r="F2" s="11" t="n"/>
      <c r="G2" s="11" t="inlineStr">
        <is>
          <t>P0</t>
        </is>
      </c>
      <c r="H2" s="11" t="inlineStr">
        <is>
          <t>Blocks the milestone exit</t>
        </is>
      </c>
    </row>
    <row r="3">
      <c r="A3" s="11" t="inlineStr">
        <is>
          <t>M</t>
        </is>
      </c>
      <c r="B3" s="16" t="n">
        <v>4</v>
      </c>
      <c r="C3" s="11" t="inlineStr">
        <is>
          <t>About half a day</t>
        </is>
      </c>
      <c r="D3" s="11" t="n"/>
      <c r="E3" s="11" t="inlineStr">
        <is>
          <t>In progress</t>
        </is>
      </c>
      <c r="F3" s="11" t="n"/>
      <c r="G3" s="11" t="inlineStr">
        <is>
          <t>P1</t>
        </is>
      </c>
      <c r="H3" s="11" t="inlineStr">
        <is>
          <t>Needed, not blocking</t>
        </is>
      </c>
    </row>
    <row r="4">
      <c r="A4" s="11" t="inlineStr">
        <is>
          <t>L</t>
        </is>
      </c>
      <c r="B4" s="16" t="n">
        <v>8</v>
      </c>
      <c r="C4" s="11" t="inlineStr">
        <is>
          <t>About one day</t>
        </is>
      </c>
      <c r="D4" s="11" t="n"/>
      <c r="E4" s="11" t="inlineStr">
        <is>
          <t>Blocked</t>
        </is>
      </c>
      <c r="F4" s="11" t="n"/>
      <c r="G4" s="11" t="inlineStr">
        <is>
          <t>P2</t>
        </is>
      </c>
      <c r="H4" s="11" t="inlineStr">
        <is>
          <t>Nice to have / can slip</t>
        </is>
      </c>
    </row>
    <row r="5">
      <c r="A5" s="11" t="inlineStr">
        <is>
          <t>XL</t>
        </is>
      </c>
      <c r="B5" s="16" t="n">
        <v>16</v>
      </c>
      <c r="C5" s="11" t="inlineStr">
        <is>
          <t>Two+ days - split before starting</t>
        </is>
      </c>
      <c r="D5" s="11" t="n"/>
      <c r="E5" s="11" t="inlineStr">
        <is>
          <t>Done</t>
        </is>
      </c>
      <c r="F5" s="11" t="n"/>
      <c r="G5" s="11" t="n"/>
      <c r="H5" s="11" t="n"/>
    </row>
    <row r="6">
      <c r="A6" s="11" t="n"/>
      <c r="B6" s="11" t="n"/>
      <c r="C6" s="11" t="n"/>
      <c r="D6" s="11" t="n"/>
      <c r="E6" s="11" t="n"/>
      <c r="F6" s="11" t="n"/>
      <c r="G6" s="11" t="n"/>
      <c r="H6" s="11" t="n"/>
    </row>
    <row r="7">
      <c r="A7" s="11" t="n"/>
      <c r="B7" s="11" t="n"/>
      <c r="C7" s="11" t="n"/>
      <c r="D7" s="11" t="n"/>
      <c r="E7" s="11" t="n"/>
      <c r="F7" s="11" t="n"/>
      <c r="G7" s="11" t="n"/>
      <c r="H7" s="11" t="n"/>
    </row>
    <row r="8">
      <c r="A8" s="11" t="inlineStr">
        <is>
          <t>Hour values (blue) are planning assumptions from TASK_BACKLOG.md effort sizes - edit them to re-scale every estimate.</t>
        </is>
      </c>
      <c r="B8" s="11" t="n"/>
      <c r="C8" s="11" t="n"/>
      <c r="D8" s="11" t="n"/>
      <c r="E8" s="11" t="n"/>
      <c r="F8" s="11" t="n"/>
      <c r="G8" s="11" t="n"/>
      <c r="H8"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2026-10-20T20:34:09Z</dcterms:created>
  <dcterms:modified xsi:type="dcterms:W3CDTF">2026-10-20T20:54:03Z</dcterms:modified>
</cp:coreProperties>
</file>